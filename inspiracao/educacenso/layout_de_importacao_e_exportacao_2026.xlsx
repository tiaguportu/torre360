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EstaPastaDeTrabalho" defaultThemeVersion="124226"/>
  <mc:AlternateContent xmlns:mc="http://schemas.openxmlformats.org/markup-compatibility/2006">
    <mc:Choice Requires="x15">
      <x15ac:absPath xmlns:x15ac="http://schemas.microsoft.com/office/spreadsheetml/2010/11/ac" url="C:\xampp\htdocs\torre360\inspiracao\educacenso\"/>
    </mc:Choice>
  </mc:AlternateContent>
  <xr:revisionPtr revIDLastSave="0" documentId="8_{5B0D0510-4D88-4CD7-B175-1AB6C3AB3CB5}" xr6:coauthVersionLast="47" xr6:coauthVersionMax="47" xr10:uidLastSave="{00000000-0000-0000-0000-000000000000}"/>
  <bookViews>
    <workbookView xWindow="-108" yWindow="-108" windowWidth="23256" windowHeight="12456" tabRatio="754" firstSheet="1" activeTab="3" xr2:uid="{3937CCA3-665C-40A5-ACF3-1A39EAFA0BD8}"/>
  </bookViews>
  <sheets>
    <sheet name="atualização" sheetId="30" state="hidden" r:id="rId1"/>
    <sheet name="atualizações da versão" sheetId="31" r:id="rId2"/>
    <sheet name="regras gerais" sheetId="1" r:id="rId3"/>
    <sheet name="00" sheetId="16" r:id="rId4"/>
    <sheet name="10" sheetId="15" r:id="rId5"/>
    <sheet name="20" sheetId="17" r:id="rId6"/>
    <sheet name="30" sheetId="18" r:id="rId7"/>
    <sheet name="40" sheetId="24" r:id="rId8"/>
    <sheet name="50" sheetId="26" r:id="rId9"/>
    <sheet name="60" sheetId="29" r:id="rId10"/>
    <sheet name="Anexo 1" sheetId="35" r:id="rId11"/>
    <sheet name="Anexo 2" sheetId="11" r:id="rId12"/>
    <sheet name="Anexo 3" sheetId="21" r:id="rId13"/>
    <sheet name="Anexo 4" sheetId="36" r:id="rId14"/>
    <sheet name="Anexo 5" sheetId="32" r:id="rId15"/>
    <sheet name="Anexo 6" sheetId="33" r:id="rId16"/>
    <sheet name="Anexo 7" sheetId="34" r:id="rId17"/>
    <sheet name="Anexo 8" sheetId="37" r:id="rId18"/>
  </sheets>
  <definedNames>
    <definedName name="_xlnm._FilterDatabase" localSheetId="3" hidden="1">'00'!$A$1:$L$109</definedName>
    <definedName name="_xlnm._FilterDatabase" localSheetId="4" hidden="1">'10'!$A$1:$L$223</definedName>
    <definedName name="_xlnm._FilterDatabase" localSheetId="1" hidden="1">'atualizações da versão'!$A$1:$H$49</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24" i="15" l="1"/>
  <c r="I123" i="15"/>
  <c r="I32" i="29"/>
  <c r="I50" i="18"/>
  <c r="I34" i="18"/>
  <c r="I126" i="18"/>
  <c r="I83" i="16"/>
  <c r="I74" i="16"/>
  <c r="I62" i="16"/>
  <c r="I45" i="16"/>
  <c r="I214" i="15"/>
  <c r="I203" i="15"/>
  <c r="I176" i="15"/>
  <c r="I153" i="15"/>
  <c r="I140" i="15"/>
  <c r="I55" i="15"/>
  <c r="I49" i="15"/>
  <c r="I42" i="15"/>
  <c r="I28" i="15"/>
  <c r="I4" i="15"/>
  <c r="I60" i="15"/>
  <c r="I103" i="15"/>
  <c r="I13" i="15"/>
</calcChain>
</file>

<file path=xl/sharedStrings.xml><?xml version="1.0" encoding="utf-8"?>
<sst xmlns="http://schemas.openxmlformats.org/spreadsheetml/2006/main" count="6107" uniqueCount="1284">
  <si>
    <t>regra</t>
  </si>
  <si>
    <t>mensagem de erro</t>
  </si>
  <si>
    <t>momento da verificação</t>
  </si>
  <si>
    <t>status da escola</t>
  </si>
  <si>
    <t>Legenda:</t>
  </si>
  <si>
    <t>Recusada</t>
  </si>
  <si>
    <t>Inclusão</t>
  </si>
  <si>
    <t>Mudança</t>
  </si>
  <si>
    <t>Exclusão</t>
  </si>
  <si>
    <t>campo(s)</t>
  </si>
  <si>
    <t>nome do campo</t>
  </si>
  <si>
    <t>Tipo de registro</t>
  </si>
  <si>
    <t>Código de escola - Inep</t>
  </si>
  <si>
    <t>Situação de funcionamento</t>
  </si>
  <si>
    <t>Data de início do ano letivo</t>
  </si>
  <si>
    <t>Data de término do ano letivo</t>
  </si>
  <si>
    <t>Nome da escola</t>
  </si>
  <si>
    <t>CEP</t>
  </si>
  <si>
    <t>Município</t>
  </si>
  <si>
    <t>Distrito</t>
  </si>
  <si>
    <t>Endereço</t>
  </si>
  <si>
    <t>Número</t>
  </si>
  <si>
    <t>Complemento</t>
  </si>
  <si>
    <t>Bairro</t>
  </si>
  <si>
    <t>DDD</t>
  </si>
  <si>
    <t>Telefone</t>
  </si>
  <si>
    <t>Outro telefone de contato</t>
  </si>
  <si>
    <t>Endereço eletrônico (e-mail) da escola</t>
  </si>
  <si>
    <t>Código do órgão regional de ensino</t>
  </si>
  <si>
    <t>Localização diferenciada da escola</t>
  </si>
  <si>
    <t>Dependência administrativa</t>
  </si>
  <si>
    <t>22 a 25</t>
  </si>
  <si>
    <t>Secretaria de Educação/Ministério da Educação</t>
  </si>
  <si>
    <t>Secretaria de Segurança Pública/Forças Armadas/Militar</t>
  </si>
  <si>
    <t>Secretaria da Saúde/Ministério da Saúde</t>
  </si>
  <si>
    <t>Outro órgão da administração pública</t>
  </si>
  <si>
    <t>26 a 31</t>
  </si>
  <si>
    <t>Mantenedora da escola privada</t>
  </si>
  <si>
    <t>Empresa, grupos empresariais do setor privado ou pessoa física</t>
  </si>
  <si>
    <t>Sindicatos de trabalhadores ou patronais, associações, cooperativas</t>
  </si>
  <si>
    <t>Sistema S (Sesi, Senai, Sesc, outros)</t>
  </si>
  <si>
    <t>Categoria da escola privada</t>
  </si>
  <si>
    <t>CNPJ da mantenedora principal da escola privada</t>
  </si>
  <si>
    <t>Número do CNPJ da escola privada</t>
  </si>
  <si>
    <t>Código da Escola Sede</t>
  </si>
  <si>
    <t>Código da IES</t>
  </si>
  <si>
    <t>3 a 8</t>
  </si>
  <si>
    <t>Local de funcionamento da escola</t>
  </si>
  <si>
    <t>Prédio escolar</t>
  </si>
  <si>
    <t>Sala(s) em outra escola</t>
  </si>
  <si>
    <t>Unidade de atendimento Socioeducativa</t>
  </si>
  <si>
    <t>Unidade Prisional</t>
  </si>
  <si>
    <t>Outros</t>
  </si>
  <si>
    <t>Forma de ocupação do prédio</t>
  </si>
  <si>
    <t>11 a 16</t>
  </si>
  <si>
    <t>Código da escola com a qual compartilha</t>
  </si>
  <si>
    <t>Código da escola com a qual compartilha (1)</t>
  </si>
  <si>
    <t>Código da escola com a qual compartilha (2)</t>
  </si>
  <si>
    <t>Código da escola com a qual compartilha (3)</t>
  </si>
  <si>
    <t>Código da escola com a qual compartilha (4)</t>
  </si>
  <si>
    <t>Código da escola com a qual compartilha (5)</t>
  </si>
  <si>
    <t>Código da escola com a qual compartilha (6)</t>
  </si>
  <si>
    <t>Fornece água potável para o consumo humano</t>
  </si>
  <si>
    <t>Abastecimento de água</t>
  </si>
  <si>
    <t>Rede pública</t>
  </si>
  <si>
    <t>Poço artesiano</t>
  </si>
  <si>
    <t>Cacimba/ cisterna / poço</t>
  </si>
  <si>
    <t>Fonte/ rio / igarapé/ riacho/ córrego.</t>
  </si>
  <si>
    <t>Não há abastecimento de água</t>
  </si>
  <si>
    <t>Fonte de energia elétrica</t>
  </si>
  <si>
    <t>Gerador movido a combustível fóssil</t>
  </si>
  <si>
    <t>Fontes de energia renováveis ou alternativas (gerador a biocombustível e/ou biodigestores, eólica, solar, outras)</t>
  </si>
  <si>
    <t>Não há energia elétrica</t>
  </si>
  <si>
    <t>Esgotamento sanitário</t>
  </si>
  <si>
    <t>Fossa séptica</t>
  </si>
  <si>
    <t>Fossa rudimentar/comum</t>
  </si>
  <si>
    <t>Não há esgotamento sanitário</t>
  </si>
  <si>
    <t>Destinação do lixo</t>
  </si>
  <si>
    <t>Serviço de coleta</t>
  </si>
  <si>
    <t>Queima</t>
  </si>
  <si>
    <t>Enterra</t>
  </si>
  <si>
    <t>Leva a uma destinação final licenciada pelo poder público</t>
  </si>
  <si>
    <t>Descarta em outra área</t>
  </si>
  <si>
    <t>Tratamento do lixo/resíduos que a escola realiza</t>
  </si>
  <si>
    <t>Separação do lixo/resíduos</t>
  </si>
  <si>
    <t>Reaproveitamento/reutilização</t>
  </si>
  <si>
    <t>Reciclagem</t>
  </si>
  <si>
    <t>Não faz tratamento</t>
  </si>
  <si>
    <t>Almoxarifado</t>
  </si>
  <si>
    <t>Auditório</t>
  </si>
  <si>
    <t>Banheiro</t>
  </si>
  <si>
    <t>Banheiro acessível adequado ao uso de pessoas com deficiência ou mobilidade reduzida</t>
  </si>
  <si>
    <t>Banheiro adequado à educação infantil</t>
  </si>
  <si>
    <t>Banheiro exclusivo para os funcionários</t>
  </si>
  <si>
    <t>Banheiro ou vestiário com chuveiro</t>
  </si>
  <si>
    <t>Biblioteca</t>
  </si>
  <si>
    <t>Cozinha</t>
  </si>
  <si>
    <t>Despensa</t>
  </si>
  <si>
    <t>Dormitório de aluno(a)</t>
  </si>
  <si>
    <t>Dormitório de professor(a)</t>
  </si>
  <si>
    <t>Laboratório de ciências</t>
  </si>
  <si>
    <t>Laboratório de informática</t>
  </si>
  <si>
    <t>Parque infantil</t>
  </si>
  <si>
    <t>Pátio coberto</t>
  </si>
  <si>
    <t>Pátio descoberto</t>
  </si>
  <si>
    <t>Piscina</t>
  </si>
  <si>
    <t>Quadra de esportes coberta</t>
  </si>
  <si>
    <t>Quadra de esportes descoberta</t>
  </si>
  <si>
    <t>Refeitório</t>
  </si>
  <si>
    <t>Sala de repouso para aluno(a)</t>
  </si>
  <si>
    <t>Sala/ateliê de artes</t>
  </si>
  <si>
    <t>Sala de música/coral</t>
  </si>
  <si>
    <t>Sala/estúdio de dança</t>
  </si>
  <si>
    <t>Sala multiuso (música, dança e artes)</t>
  </si>
  <si>
    <t>Terreirão (área para prática desportiva e recreação sem cobertura, sem piso e sem edificações)</t>
  </si>
  <si>
    <t>Viveiro/criação de animais</t>
  </si>
  <si>
    <t>Sala de diretoria</t>
  </si>
  <si>
    <t>Sala de professores</t>
  </si>
  <si>
    <t>Nenhuma das dependências relacionadas</t>
  </si>
  <si>
    <t>Recursos de acessibilidade para pessoas com deficiência ou mobilidade reduzida nas vias de circulação internas na escola</t>
  </si>
  <si>
    <t>Corrimão e guarda-corpos</t>
  </si>
  <si>
    <t>Elevador</t>
  </si>
  <si>
    <t>Pisos táteis</t>
  </si>
  <si>
    <t>Portas com vão livre de no mínimo 80 cm</t>
  </si>
  <si>
    <t>Rampas</t>
  </si>
  <si>
    <t>Sinalização sonora</t>
  </si>
  <si>
    <t>Sinalização visual (piso/paredes)</t>
  </si>
  <si>
    <t>Nenhum dos recursos de acessibilidade listados</t>
  </si>
  <si>
    <t>Antena parabólica</t>
  </si>
  <si>
    <t>Computadores</t>
  </si>
  <si>
    <t>Copiadora</t>
  </si>
  <si>
    <t>Impressora</t>
  </si>
  <si>
    <t>Impressora Multifuncional</t>
  </si>
  <si>
    <t>Scanner</t>
  </si>
  <si>
    <t>Aparelho de DVD/Blu-ray</t>
  </si>
  <si>
    <t>Aparelho de som</t>
  </si>
  <si>
    <t>Aparelho de Televisão</t>
  </si>
  <si>
    <t>Lousa digital</t>
  </si>
  <si>
    <t>Projetor Multimídia (Data show)</t>
  </si>
  <si>
    <t>Acesso à internet</t>
  </si>
  <si>
    <t>Para uso administrativo</t>
  </si>
  <si>
    <t>Para uso dos aluno(a)s</t>
  </si>
  <si>
    <t>Para uso da comunidade</t>
  </si>
  <si>
    <t>Não possui acesso à internet</t>
  </si>
  <si>
    <t>Rede local de interligação de computadores</t>
  </si>
  <si>
    <t>Total de profissionais que atuam nas seguintes funções na escola</t>
  </si>
  <si>
    <t>Auxiliares de secretaria ou auxiliares administrativos, atendentes</t>
  </si>
  <si>
    <t>Bibliotecário(a), auxiliar de biblioteca ou monitor(a) da sala de leitura</t>
  </si>
  <si>
    <t>Fonoaudiólogo(a)</t>
  </si>
  <si>
    <t>Nutricionista</t>
  </si>
  <si>
    <t>Profissionais de preparação e segurança alimentar, cozinheiro(a), merendeira e auxiliar de cozinha</t>
  </si>
  <si>
    <t>Profissionais de apoio e supervisão pedagógica: (pedagogo(a), coordenador(a) pedagógico(a), orientador(a) educacional, supervisor(a) escolar e coordenador(a) de área de ensino</t>
  </si>
  <si>
    <t>Secretário(a) escolar</t>
  </si>
  <si>
    <t>Alimentação escolar para os aluno(a)s</t>
  </si>
  <si>
    <t>Acervo multimídia</t>
  </si>
  <si>
    <t>Conjunto de materiais científicos</t>
  </si>
  <si>
    <t>Equipamento para amplificação e difusão de som/áudio</t>
  </si>
  <si>
    <t>Instrumentos musicais para conjunto, banda/fanfarra e/ou aulas de música</t>
  </si>
  <si>
    <t>Jogos educativos</t>
  </si>
  <si>
    <t>Materiais para atividades culturais e artísticas</t>
  </si>
  <si>
    <t>Materiais para prática desportiva e recreação</t>
  </si>
  <si>
    <t>Materiais pedagógicos para a educação escolar indígena</t>
  </si>
  <si>
    <t>Materiais pedagógicos para a educação do campo</t>
  </si>
  <si>
    <t>Língua em que o ensino é ministrado</t>
  </si>
  <si>
    <t>Código da língua indígena 1</t>
  </si>
  <si>
    <t>Código da língua indígena 2</t>
  </si>
  <si>
    <t>Código da língua indígena 3</t>
  </si>
  <si>
    <t>Reserva de vagas por sistema de cotas para grupos específicos de aluno(a)s</t>
  </si>
  <si>
    <t>Autodeclarado preto, pardo ou indígena (PPI)</t>
  </si>
  <si>
    <t>Oriundo de escola pública</t>
  </si>
  <si>
    <t>Pessoa com deficiência (PCD)</t>
  </si>
  <si>
    <t>Outros grupos que não os listados</t>
  </si>
  <si>
    <t>Sem reservas de vagas para sistema de cotas (ampla concorrência)</t>
  </si>
  <si>
    <t>A escola possui site ou blog ou página em redes sociais para comunicação institucional</t>
  </si>
  <si>
    <t>A escola compartilha espaços para atividades de integração escola-comunidade</t>
  </si>
  <si>
    <t>A escola usa espaços e equipamentos do entorno escolar para atividades regulares com os aluno(a)s</t>
  </si>
  <si>
    <t>Órgãos colegiados em funcionamento na escola</t>
  </si>
  <si>
    <t>Associação de Pais</t>
  </si>
  <si>
    <t>Não há órgãos colegiados em funcionamento</t>
  </si>
  <si>
    <t>Código da Turma na Entidade/Escola</t>
  </si>
  <si>
    <t>Código da Turma - Inep</t>
  </si>
  <si>
    <t>Nome da Turma</t>
  </si>
  <si>
    <t>Tipo de mediação didático-pedagógica</t>
  </si>
  <si>
    <t>Domingo</t>
  </si>
  <si>
    <t>Segunda-feira</t>
  </si>
  <si>
    <t>Terça-feira</t>
  </si>
  <si>
    <t>Quarta-feira</t>
  </si>
  <si>
    <t>Quinta-feira</t>
  </si>
  <si>
    <t>Sexta-feira</t>
  </si>
  <si>
    <t>Sábado</t>
  </si>
  <si>
    <t>Tipo de atividade complementar</t>
  </si>
  <si>
    <t>Código 1</t>
  </si>
  <si>
    <t>Código 2</t>
  </si>
  <si>
    <t>Código 3</t>
  </si>
  <si>
    <t>Código 4</t>
  </si>
  <si>
    <t>Código 5</t>
  </si>
  <si>
    <t>Código 6</t>
  </si>
  <si>
    <t>Etapa</t>
  </si>
  <si>
    <t>1. Química</t>
  </si>
  <si>
    <t>2. Física</t>
  </si>
  <si>
    <t>3. Matemática</t>
  </si>
  <si>
    <t>4. Biologia</t>
  </si>
  <si>
    <t>5. Ciências</t>
  </si>
  <si>
    <t>6. Língua/Literatura Portuguesa</t>
  </si>
  <si>
    <t>7. Língua/Literatura Estrangeira – Inglês</t>
  </si>
  <si>
    <t>8. Língua/Literatura Estrangeira – Espanhol</t>
  </si>
  <si>
    <t>9. Língua/Literatura Estrangeira – outra</t>
  </si>
  <si>
    <t>10. Arte (Educação Artística, Teatro, Dança, Música, Artes Plásticas e outras)</t>
  </si>
  <si>
    <t>11. Educação Física</t>
  </si>
  <si>
    <t>12. História</t>
  </si>
  <si>
    <t>13. Geografia</t>
  </si>
  <si>
    <t>14. Filosofia</t>
  </si>
  <si>
    <t>16. Informática/ Computação</t>
  </si>
  <si>
    <t>23. Libras</t>
  </si>
  <si>
    <t>26. Ensino Religioso</t>
  </si>
  <si>
    <t>27. Língua Indígena</t>
  </si>
  <si>
    <t>28. Estudos Sociais</t>
  </si>
  <si>
    <t>29. Sociologia</t>
  </si>
  <si>
    <t>30. Língua/Literatura Estrangeira – Francês</t>
  </si>
  <si>
    <t>31. Língua Portuguesa como Segunda Língua</t>
  </si>
  <si>
    <t>Código da pessoa física no sistema próprio</t>
  </si>
  <si>
    <t>Identificação única (Inep)</t>
  </si>
  <si>
    <t>Número do CPF</t>
  </si>
  <si>
    <t>Nome completo</t>
  </si>
  <si>
    <t>Data de nascimento</t>
  </si>
  <si>
    <t>Filiação</t>
  </si>
  <si>
    <t>Filiação 1 (preferencialmente o nome da mãe)</t>
  </si>
  <si>
    <t>Filiação 2 (preferencialmente o nome do pai)</t>
  </si>
  <si>
    <t>Sexo</t>
  </si>
  <si>
    <t>Cor/Raça</t>
  </si>
  <si>
    <t>Nacionalidade</t>
  </si>
  <si>
    <t>Município de nascimento</t>
  </si>
  <si>
    <t>Processamento</t>
  </si>
  <si>
    <t>Cegueira</t>
  </si>
  <si>
    <t>Baixa visão</t>
  </si>
  <si>
    <t>Surdez</t>
  </si>
  <si>
    <t>Deficiência auditiva</t>
  </si>
  <si>
    <t>Surdocegueira</t>
  </si>
  <si>
    <t>Deficiência física</t>
  </si>
  <si>
    <t>Deficiência intelectual</t>
  </si>
  <si>
    <t>Deficiência múltipla</t>
  </si>
  <si>
    <t>Transtorno do espectro autista</t>
  </si>
  <si>
    <t>Auxílio ledor</t>
  </si>
  <si>
    <t>Auxílio transcrição</t>
  </si>
  <si>
    <t>Guia-Intérprete</t>
  </si>
  <si>
    <t>Tradutor-Intérprete de Libras</t>
  </si>
  <si>
    <t>Leitura Labial</t>
  </si>
  <si>
    <t>Prova Ampliada (Fonte 18)</t>
  </si>
  <si>
    <t>Prova superampliada (Fonte 24)</t>
  </si>
  <si>
    <t>Prova em Vídeo em Libras</t>
  </si>
  <si>
    <t>Nenhum</t>
  </si>
  <si>
    <t>Município de residência</t>
  </si>
  <si>
    <t>Localização/ Zona de residência</t>
  </si>
  <si>
    <t>Tipo de ensino médio cursado</t>
  </si>
  <si>
    <t>Código do Curso 1</t>
  </si>
  <si>
    <t>Código do Curso 2</t>
  </si>
  <si>
    <t>Código do Curso 3</t>
  </si>
  <si>
    <t>Instituição de Educação Superior 3</t>
  </si>
  <si>
    <t>Área do conhecimento/ componentes curriculares 1</t>
  </si>
  <si>
    <t>Área do conhecimento/ componentes curriculares 2</t>
  </si>
  <si>
    <t>Área do conhecimento/ componentes curriculares 3</t>
  </si>
  <si>
    <t>Pós-Graduações concluídas</t>
  </si>
  <si>
    <t>Não tem pós-graduação concluída</t>
  </si>
  <si>
    <t>Outros cursos específicos (Formação continuada com mínimo de 80 horas)</t>
  </si>
  <si>
    <t>Creche (0 a 3 anos)</t>
  </si>
  <si>
    <t>Pré-escola (4 e 5 anos)</t>
  </si>
  <si>
    <t>Anos iniciais do ensino fundamental</t>
  </si>
  <si>
    <t>Anos finais do ensino fundamental</t>
  </si>
  <si>
    <t>Ensino médio</t>
  </si>
  <si>
    <t>Educação de jovens e adultos</t>
  </si>
  <si>
    <t>Educação Indígena</t>
  </si>
  <si>
    <t>Educação do campo</t>
  </si>
  <si>
    <t>Educação ambiental</t>
  </si>
  <si>
    <t>Educação em direitos humanos</t>
  </si>
  <si>
    <t>Gênero e diversidade sexual</t>
  </si>
  <si>
    <t>Direitos de criança e adolescente</t>
  </si>
  <si>
    <t>Gestão Escolar</t>
  </si>
  <si>
    <t>Endereço Eletrônico (e-mail)</t>
  </si>
  <si>
    <t>Cargo</t>
  </si>
  <si>
    <t>Critério de acesso ao cargo/função</t>
  </si>
  <si>
    <t>Regras para o status do arquivo:</t>
  </si>
  <si>
    <t>Campos comuns no registro 30 para gestores escolares, profissionais escolares em sala de aula e alunos(as)</t>
  </si>
  <si>
    <t>gestor</t>
  </si>
  <si>
    <t>profissional</t>
  </si>
  <si>
    <t>aluno</t>
  </si>
  <si>
    <t>X</t>
  </si>
  <si>
    <t>País de nacionalidade</t>
  </si>
  <si>
    <t>Altas habilidades/ superdotação</t>
  </si>
  <si>
    <t>Número da matrícula da certidão de nascimento (certidão nova)</t>
  </si>
  <si>
    <t>Instituição de educação superior 1</t>
  </si>
  <si>
    <t>Instituição de educação superior 2</t>
  </si>
  <si>
    <t>Instituição de educação superior 3</t>
  </si>
  <si>
    <t>Situação Funcional/ Regime de contratação/Tipo de vínculo</t>
  </si>
  <si>
    <t>Instituição sem fins lucrativos</t>
  </si>
  <si>
    <t>Unidade vinculada à escola de educação básica ou unidade ofertante de educação superior</t>
  </si>
  <si>
    <t>Galpão/ rancho/ paiol/ barracão</t>
  </si>
  <si>
    <t>Sinalização tátil</t>
  </si>
  <si>
    <t>Para uso no processo de ensino e aprendizagem</t>
  </si>
  <si>
    <t>Internet banda larga</t>
  </si>
  <si>
    <t>Coordenador(a) de turno/disciplinar</t>
  </si>
  <si>
    <t>Bombeiro(a) brigadista, profissionais de assistência a saúde (urgência e emergência), enfermeiro(a), técnico(a) de enfermagem e socorrista</t>
  </si>
  <si>
    <t>Psicólogo(a) escolar</t>
  </si>
  <si>
    <t>Segurança, guarda ou segurança patrimonial</t>
  </si>
  <si>
    <t>Brinquedos para educação infantil</t>
  </si>
  <si>
    <t>Materiais pedagógicos para a educação das relações étnicos raciais</t>
  </si>
  <si>
    <t>Condição de renda</t>
  </si>
  <si>
    <t>Associação de pais e mestres</t>
  </si>
  <si>
    <t>Conselho escolar</t>
  </si>
  <si>
    <t>Grêmio estudantil</t>
  </si>
  <si>
    <t>Prédio escolar compartilhado com outra escola</t>
  </si>
  <si>
    <t>Sala de recursos multifuncionais para atendimento educacional especializado (AEE)</t>
  </si>
  <si>
    <t>Educação especial</t>
  </si>
  <si>
    <t>Áreas do conhecimento/componentes curriculares</t>
  </si>
  <si>
    <t>Formação/Complementação pedagógica</t>
  </si>
  <si>
    <t>Equipamentos que os alunos usam para acessar a internet da escola</t>
  </si>
  <si>
    <t>Técnicos(as), monitores(as), supervisores(as) ou auxiliares de laboratório(s), de apoio a tecnologias educacionais ou em multimeios/multimídias eletrônico-digitais.</t>
  </si>
  <si>
    <t>Vice-diretor(a) ou diretor(a) adjunto(a), profissionais responsáveis pela gestão administrativa e/ou financeira</t>
  </si>
  <si>
    <t>Orientador(a) comunitário(a) ou assistente social</t>
  </si>
  <si>
    <t>Educação para as relações étnico-raciais e História e cultura afro-brasileira e africana</t>
  </si>
  <si>
    <t>Equipamentos existentes na escola para uso técnico e administrativo</t>
  </si>
  <si>
    <t>O projeto político pedagógico ou a proposta pedagógica da escola (conforme art. 12 da LDB) foi atualizada nos últimos 12 meses até a data de referência</t>
  </si>
  <si>
    <t>17. Áreas do conhecimento profissionalizantes</t>
  </si>
  <si>
    <t>25. Áreas do conhecimento pedagógicas</t>
  </si>
  <si>
    <t>32. Estágio curricular supervisionado</t>
  </si>
  <si>
    <t>99. Outras áreas do conhecimento</t>
  </si>
  <si>
    <t>Maior nível de escolaridade concluído</t>
  </si>
  <si>
    <t>Local de funcionamento diferenciado da turma</t>
  </si>
  <si>
    <t>Localização diferenciada de residência</t>
  </si>
  <si>
    <t>Termo de colaboração (Lei nº 13.019/2014)</t>
  </si>
  <si>
    <t>Termo de fomento (Lei nº 13.019/2014)</t>
  </si>
  <si>
    <t>Acordo de cooperação (Lei nº 13.019/2014)</t>
  </si>
  <si>
    <t>Contrato de prestação de serviço</t>
  </si>
  <si>
    <t>Termo de cooperação técnica e financeira</t>
  </si>
  <si>
    <t>Contrato de consórcio público/Convênio de cooperação</t>
  </si>
  <si>
    <t>Laboratório específico para a educação
profissional</t>
  </si>
  <si>
    <t>Salas de oficinas da educação profissional</t>
  </si>
  <si>
    <t>Materiais para educação profissional</t>
  </si>
  <si>
    <t>Organização não governamental (ONG) - nacional ou internacional</t>
  </si>
  <si>
    <t>Formas de organização da turma</t>
  </si>
  <si>
    <t>33. Projeto de vida</t>
  </si>
  <si>
    <t>Ano de Conclusão 2</t>
  </si>
  <si>
    <t>Ano de Conclusão 1</t>
  </si>
  <si>
    <t>Ano de Conclusão 3</t>
  </si>
  <si>
    <t>Linguagens e suas tecnologias</t>
  </si>
  <si>
    <t>Matemática e suas tecnologias</t>
  </si>
  <si>
    <t>Ciências da natureza e suas tecnologias</t>
  </si>
  <si>
    <t>Ciências humanas e sociais aplicadas</t>
  </si>
  <si>
    <t>Tipo do curso do itinerário de formação técnica e profissional</t>
  </si>
  <si>
    <t>Nenhum dos equipamentos listados</t>
  </si>
  <si>
    <t>Não há funcionários para as funções listadas</t>
  </si>
  <si>
    <t>Nenhum dos instrumentos listados</t>
  </si>
  <si>
    <t>Recursos para uso do(a) aluno(a) em sala de aula e para participação em avaliações do Inep (Saeb)</t>
  </si>
  <si>
    <t>País de residência</t>
  </si>
  <si>
    <t>Órgão ao qual a escola pública está vinculada</t>
  </si>
  <si>
    <t>Ano de conclusão da pós-graduação 1</t>
  </si>
  <si>
    <t>Área da pós-graduação 1</t>
  </si>
  <si>
    <t>Tipo de pós-graduação 1</t>
  </si>
  <si>
    <t>Ano de conclusão da pós-graduação 6</t>
  </si>
  <si>
    <t>Área da pós-graduação 6</t>
  </si>
  <si>
    <t>Tipo de pós-graduação 6</t>
  </si>
  <si>
    <t>Tipo de pós-graduação 2</t>
  </si>
  <si>
    <t>Área da pós-graduação 2</t>
  </si>
  <si>
    <t>Ano de conclusão da pós-graduação 2</t>
  </si>
  <si>
    <t>Tipo de pós-graduação 3</t>
  </si>
  <si>
    <t>Área da pós-graduação 3</t>
  </si>
  <si>
    <t>Ano de conclusão da pós-graduação 3</t>
  </si>
  <si>
    <t>Tipo de pós-graduação 4</t>
  </si>
  <si>
    <t>Área da pós-graduação 4</t>
  </si>
  <si>
    <t>Ano de conclusão da pós-graduação 4</t>
  </si>
  <si>
    <t>Tipo de pós-graduação 5</t>
  </si>
  <si>
    <t>Área da pós-graduação 5</t>
  </si>
  <si>
    <t>Ano de conclusão da pós-graduação 5</t>
  </si>
  <si>
    <t>Organização da Sociedade Civil de Interesse Público (Oscip)</t>
  </si>
  <si>
    <t>Estúdio de gravação e edição</t>
  </si>
  <si>
    <t>Tradutor e Intérprete de Libras para atendimento em outros ambientes da escola que não seja sala de aula</t>
  </si>
  <si>
    <t>Visão monocular</t>
  </si>
  <si>
    <t>Educação bilíngue de surdos</t>
  </si>
  <si>
    <t>Educação e Tecnologia de Informação e Comunicação (TIC)</t>
  </si>
  <si>
    <t>Código do curso técnico</t>
  </si>
  <si>
    <t>Instrumentos e materiais socioculturais e/ou pedagógicos em uso na escola para o desenvolvimento de atividades de ensino-aprendizagem</t>
  </si>
  <si>
    <t>Materiais pedagógicos para a educação bilíngue de surdos</t>
  </si>
  <si>
    <t>CD com áudio para deficiente visual</t>
  </si>
  <si>
    <t>Prova de Língua Portuguesa
como Segunda Língua para surdos e
deficientes auditivos</t>
  </si>
  <si>
    <t>Carro-pipa</t>
  </si>
  <si>
    <t>Área de horta, plantio e/ou produção agrícola</t>
  </si>
  <si>
    <t>Área de vegetação ou gramado</t>
  </si>
  <si>
    <t>Sinalização/alarme luminoso</t>
  </si>
  <si>
    <t>Agrônomos(as), horticultores(as), técnicos ou monitores(as) responsáveis pela gestão da área de horta, plantio e/ou produção agrícola</t>
  </si>
  <si>
    <t>Auxiliar de serviços gerais, porteiro(a), zelador(a), faxineiro(a), jardineiro(a)</t>
  </si>
  <si>
    <t>Revisor de texto Braille, assistente vidente (assistente de revisão do texto em Braille)</t>
  </si>
  <si>
    <t>A escola desenvolve ações na área de educação ambiental?</t>
  </si>
  <si>
    <t>Informe de qual(quais) forma(s) a educação ambiental é desenvolvida na escola:</t>
  </si>
  <si>
    <t>Como conteúdo dos componentes/campos de experiências presentes no currículo</t>
  </si>
  <si>
    <t>Como um componente curricular especial, específico, flexível ou eletivo</t>
  </si>
  <si>
    <t>Como um eixo estruturante do currículo</t>
  </si>
  <si>
    <t>Em eventos</t>
  </si>
  <si>
    <t>Em projetos transversais ou interdisciplinares</t>
  </si>
  <si>
    <t>Nenhuma das opções listadas</t>
  </si>
  <si>
    <t>18 a 23</t>
  </si>
  <si>
    <t>24 a 27</t>
  </si>
  <si>
    <t>28 a 31</t>
  </si>
  <si>
    <t>32 a 36</t>
  </si>
  <si>
    <t>37 a 40</t>
  </si>
  <si>
    <t>Equipamentos e instrumentos para atividades em área de horta, plantio e/ou produção agrícola</t>
  </si>
  <si>
    <t>Materiais pedagógicos para a educação escolar quilombola</t>
  </si>
  <si>
    <t>Materiais pedagógicos para a educação especial</t>
  </si>
  <si>
    <t>Dependências físicas existentes na escola</t>
  </si>
  <si>
    <t>Sala de leitura</t>
  </si>
  <si>
    <t>Sala de secretaria</t>
  </si>
  <si>
    <t>Quantidade de salas de aula utilizadas pela escola dentro do prédio escolar</t>
  </si>
  <si>
    <t>Quantidade de salas de aula utilizadas pela escola fora do prédio escolar</t>
  </si>
  <si>
    <t>Quantidade de salas de aula com acessibilidade para pessoas com deficiência ou mobilidade reduzida</t>
  </si>
  <si>
    <t>Quantidade de salas de aula com Cantinho da Leitura para a Educação Infantil e o Ensino fundamental (Anos iniciais)</t>
  </si>
  <si>
    <t>Tipo de turma</t>
  </si>
  <si>
    <t>Turma de Educação Especial (classe especial)</t>
  </si>
  <si>
    <t>Turma de Formação por Alternância (proposta pedagógica de formação por alternância: tempo-escola e tempo-comunidade)</t>
  </si>
  <si>
    <t>Dias da semana e horários de funcionamento da turma</t>
  </si>
  <si>
    <t>Organização curricular da turma</t>
  </si>
  <si>
    <t>Área(s) do itinerário formativo</t>
  </si>
  <si>
    <t>7 a 13</t>
  </si>
  <si>
    <t>Turma de Educação Bilíngue de Surdos (classe bilíngue de surdos)</t>
  </si>
  <si>
    <t>Código do curso</t>
  </si>
  <si>
    <t>Quantidade de salas de aula climatizadas (com ar-condicionado, aquecedor ou climatizador)</t>
  </si>
  <si>
    <t>Povo Indígena</t>
  </si>
  <si>
    <t>Deficiência, transtorno do espectro autista e altas habilidades ou superdotação</t>
  </si>
  <si>
    <t>Povo indígena</t>
  </si>
  <si>
    <t>18 a 28</t>
  </si>
  <si>
    <t>17 a 28</t>
  </si>
  <si>
    <t>Tipo de deficiência, transtorno do espectro autista e altas habilidades ou superdotação</t>
  </si>
  <si>
    <t>Pessoa física com deficiência, transtorno do espectro autista e altas habilidades ou superdotação</t>
  </si>
  <si>
    <t>Transtorno(s) que impacta(m) o desenvolvimento da aprendizagem</t>
  </si>
  <si>
    <t>Discalculia ou outro transtorno da matemática e raciocínio lógico</t>
  </si>
  <si>
    <t>Disgrafia, Disortografia ou outro transtorno da escrita e ortografia</t>
  </si>
  <si>
    <t>Dislalia ou outro transtorno da linguagem e comunicação</t>
  </si>
  <si>
    <t>Dislexia</t>
  </si>
  <si>
    <t>Transtorno do Déficit de Atenção com Hiperatividade (TDAH)</t>
  </si>
  <si>
    <t>Transtorno do Processamento Auditivo Central (TPAC)</t>
  </si>
  <si>
    <t>30 a 35</t>
  </si>
  <si>
    <t>29 a 35</t>
  </si>
  <si>
    <t>Tempo adicional</t>
  </si>
  <si>
    <t>13</t>
  </si>
  <si>
    <t>14</t>
  </si>
  <si>
    <t>15</t>
  </si>
  <si>
    <t>16</t>
  </si>
  <si>
    <t>Material didático em Braille</t>
  </si>
  <si>
    <t>Prova em Braille</t>
  </si>
  <si>
    <t>67 a 69</t>
  </si>
  <si>
    <t>70 a 88</t>
  </si>
  <si>
    <t>89 a 107</t>
  </si>
  <si>
    <t>36 a 49</t>
  </si>
  <si>
    <t>Etapa agregada</t>
  </si>
  <si>
    <t>50</t>
  </si>
  <si>
    <t>51</t>
  </si>
  <si>
    <t>52</t>
  </si>
  <si>
    <t>53</t>
  </si>
  <si>
    <t>54</t>
  </si>
  <si>
    <t>55</t>
  </si>
  <si>
    <t>56</t>
  </si>
  <si>
    <t>57</t>
  </si>
  <si>
    <t>58</t>
  </si>
  <si>
    <t>59</t>
  </si>
  <si>
    <t>60</t>
  </si>
  <si>
    <t>61</t>
  </si>
  <si>
    <t>62</t>
  </si>
  <si>
    <t>63</t>
  </si>
  <si>
    <t>64</t>
  </si>
  <si>
    <t>65</t>
  </si>
  <si>
    <t>66</t>
  </si>
  <si>
    <t>108</t>
  </si>
  <si>
    <t>Código da turma no INEP</t>
  </si>
  <si>
    <t>Situação funcional/regime de contratação/tipo de vínculo</t>
  </si>
  <si>
    <t>9 a 33</t>
  </si>
  <si>
    <t>Código 7</t>
  </si>
  <si>
    <t>Código 8</t>
  </si>
  <si>
    <t>Código 9</t>
  </si>
  <si>
    <t>Código 10</t>
  </si>
  <si>
    <t>Código 11</t>
  </si>
  <si>
    <t>Código 12</t>
  </si>
  <si>
    <t>Código 13</t>
  </si>
  <si>
    <t>Código 14</t>
  </si>
  <si>
    <t>Código 15</t>
  </si>
  <si>
    <t>Código 16</t>
  </si>
  <si>
    <t>Código 17</t>
  </si>
  <si>
    <t>Código 18</t>
  </si>
  <si>
    <t>Código 19</t>
  </si>
  <si>
    <t>Código 20</t>
  </si>
  <si>
    <t>Código 21</t>
  </si>
  <si>
    <t>Código 22</t>
  </si>
  <si>
    <t>Código 23</t>
  </si>
  <si>
    <t>Código 24</t>
  </si>
  <si>
    <t>Código 25</t>
  </si>
  <si>
    <t>Código da Matrícula do(a) aluno(a)</t>
  </si>
  <si>
    <t>Turma multi</t>
  </si>
  <si>
    <t>Tipo de atendimento educacional especializado</t>
  </si>
  <si>
    <t>Desenvolvimento de funções cognitivas</t>
  </si>
  <si>
    <t>Desenvolvimento de vida autônoma</t>
  </si>
  <si>
    <t>Enriquecimento curricular</t>
  </si>
  <si>
    <t>Ensino da informática acessível</t>
  </si>
  <si>
    <t>Ensino da Língua Brasileira de Sinais (Libras)</t>
  </si>
  <si>
    <t>Ensino da Língua Portuguesa como Segunda Língua</t>
  </si>
  <si>
    <t>Ensino das técnicas do cálculo no Soroban</t>
  </si>
  <si>
    <t>Ensino de Sistema Braille</t>
  </si>
  <si>
    <t>Ensino de técnicas para orientação e mobilidade</t>
  </si>
  <si>
    <t>Ensino de uso da Comunicação Alternativa e Aumentativa (CAA)</t>
  </si>
  <si>
    <t>Ensino de uso de recursos ópticos e não ópticos</t>
  </si>
  <si>
    <t>Recebe escolarização em outro espaço (diferente da escola)</t>
  </si>
  <si>
    <t>Transporte escolar público</t>
  </si>
  <si>
    <t>Poder Público responsável pelo transporte escolar</t>
  </si>
  <si>
    <t>Tipo de veículo utilizado no transporte escolar público</t>
  </si>
  <si>
    <t>Rodoviário - Bicicleta</t>
  </si>
  <si>
    <t>Rodoviário - Microônibus</t>
  </si>
  <si>
    <t>Rodoviário - Ônibus</t>
  </si>
  <si>
    <t>Rodoviário – Tração Animal</t>
  </si>
  <si>
    <t>Rodoviário - Vans/Kombis</t>
  </si>
  <si>
    <t xml:space="preserve">Rodoviário - Outro </t>
  </si>
  <si>
    <t>Aquaviário - Capacidade de até 5 aluno(a)s</t>
  </si>
  <si>
    <t>Aquaviário - Capacidade entre 5 a 15 aluno(a)s</t>
  </si>
  <si>
    <t>Aquaviário - Capacidade entre 15 a 35 aluno(a)s</t>
  </si>
  <si>
    <t>Aquaviário - Capacidade acima de 35 aluno(a)s</t>
  </si>
  <si>
    <t>Função que exerce na turma</t>
  </si>
  <si>
    <t>Áreas do conhecimento/componentes curriculares que leciona</t>
  </si>
  <si>
    <t>34 a 37</t>
  </si>
  <si>
    <t>Profissional escolar leciona no Itinerário de formação técnica e profissional (IFTP)</t>
  </si>
  <si>
    <t>n</t>
  </si>
  <si>
    <t>campo</t>
  </si>
  <si>
    <t>nome</t>
  </si>
  <si>
    <t>00</t>
  </si>
  <si>
    <t>data</t>
  </si>
  <si>
    <t>tipo</t>
  </si>
  <si>
    <t>Localização / Zona da escola</t>
  </si>
  <si>
    <t>Regulamentação/ autorização no conselho ou órgão municipal, estadual ou federal de educação</t>
  </si>
  <si>
    <t>Esfera administrativa do conselho ou órgão responsável pela regulamentação/ autorização</t>
  </si>
  <si>
    <t>10</t>
  </si>
  <si>
    <t>1-Em atividade
2-Paralisada
3-Extinta</t>
  </si>
  <si>
    <t>1-Urbana
2-Rural</t>
  </si>
  <si>
    <t>1-Área de assentamento
2-Terra indígena
3-Comunidade quilombola
7-Não está em área de localização diferenciada
8-Área onde se localizam povos e comunidades tradicionais</t>
  </si>
  <si>
    <t>1-Federal
2-Estadual
3-Municipal
4-Privada</t>
  </si>
  <si>
    <t>1-Particular
2-Comunitária
3-Confessional
4-Filantrópica</t>
  </si>
  <si>
    <t>0-Não
1-Sim</t>
  </si>
  <si>
    <t>permitidos</t>
  </si>
  <si>
    <t>dd/mm/aaaa</t>
  </si>
  <si>
    <t>A-Z 0-9 ª º - / . ,</t>
  </si>
  <si>
    <t>A-Z 0-9 ª º -</t>
  </si>
  <si>
    <t>A-Z 0-9</t>
  </si>
  <si>
    <t>0-Não
1-Sim
2-Em tramitação</t>
  </si>
  <si>
    <t>1-Federal
2-Estadual
3-Municipal
4-Estadual e Municipal
5-Federal e Estadual</t>
  </si>
  <si>
    <t>0-Sem vínculo com outra instituição
1-Unidade vinculada a escola de educação básica
2-Unidade ofertante de educação superior</t>
  </si>
  <si>
    <t>email</t>
  </si>
  <si>
    <t>1-Próprio
2-Alugado
3-Cedido</t>
  </si>
  <si>
    <t>Computadores de mesa (desktop) em uso pelos alunos</t>
  </si>
  <si>
    <t>Computadores portáteis em uso pelos alunos</t>
  </si>
  <si>
    <t>Tablets em uso pelos alunos</t>
  </si>
  <si>
    <t>1-Computadores de mesa, portáteis e tablets da escola(laboratório de informática, biblioteca, salas de aula, etc)
2-Dispositivos pessoais (computadores portáteis, celulares, tablets, etc.)
3-Computadores de mesa, portáteis e tablets da escola (no laboratório de informática, biblioteca, sala de aula, etc.) e Dispositivos pessoais (computadores portáteis, celulares, tablets, etc.)</t>
  </si>
  <si>
    <t>0-Não há rede local interligando computadores
1-A cabo
2-Wireless
3-A cabo e Wireless</t>
  </si>
  <si>
    <t>0-Não oferece
1-Oferece</t>
  </si>
  <si>
    <t>0-9</t>
  </si>
  <si>
    <t>fixo</t>
  </si>
  <si>
    <t>0-Não oferece educação índigena
1-Língua indígena
2-Língua portuguesa
3-Língua indígena e língua portuguesa</t>
  </si>
  <si>
    <t>Tabela de Línguas Indígenas</t>
  </si>
  <si>
    <t>0-Não
1-Sim
2-A escola não possui projeto político pedagógico/proposta pedagógica</t>
  </si>
  <si>
    <t>tm</t>
  </si>
  <si>
    <t>s</t>
  </si>
  <si>
    <t>35 a 40</t>
  </si>
  <si>
    <t>41 a 46</t>
  </si>
  <si>
    <t>obg</t>
  </si>
  <si>
    <t>c</t>
  </si>
  <si>
    <t>valores permitidos</t>
  </si>
  <si>
    <t>num</t>
  </si>
  <si>
    <t>selec</t>
  </si>
  <si>
    <t>item</t>
  </si>
  <si>
    <t>descrição</t>
  </si>
  <si>
    <t>alfa</t>
  </si>
  <si>
    <t>f</t>
  </si>
  <si>
    <t>m</t>
  </si>
  <si>
    <t>Código de escola em atividade, do mesmo estado e diferentes da escola atual</t>
  </si>
  <si>
    <t>Não pode ser 1 quando [Fossa séptica] for 1</t>
  </si>
  <si>
    <t xml:space="preserve">Deve ser preenchido com 00
</t>
  </si>
  <si>
    <t xml:space="preserve">Deve ter 8 caracteres numéricos
</t>
  </si>
  <si>
    <t xml:space="preserve">Deve ser uma entidade existente no cadastro do Inep
</t>
  </si>
  <si>
    <t xml:space="preserve">Deve estar entre as escolas abrangidas pelo perfil do informante
</t>
  </si>
  <si>
    <t xml:space="preserve">Não pode estar com status de fechada no Educacenso
</t>
  </si>
  <si>
    <t xml:space="preserve">Não pode ser escola extinta em anos anteriores
</t>
  </si>
  <si>
    <t xml:space="preserve">Deve ser existente na base DNE para o [Município] informado
</t>
  </si>
  <si>
    <t xml:space="preserve">Deve ter 7 caracteres numéricos
</t>
  </si>
  <si>
    <t xml:space="preserve">Deve existir na tabela de municípios
</t>
  </si>
  <si>
    <t xml:space="preserve">Apenas usuários com perfil Inep, Setec ou Estado podem alterar esse dado
</t>
  </si>
  <si>
    <t xml:space="preserve">Deve ter 2 caracteres numéricos
</t>
  </si>
  <si>
    <t xml:space="preserve">Deve ser um código existente na tabela de distritos para o [Município] informado
</t>
  </si>
  <si>
    <t xml:space="preserve">Quando preenchido, deve ser um DDD conforme o [Município]
</t>
  </si>
  <si>
    <t xml:space="preserve">Quando preenchido, pelo menos um dos campos [Telefone] e [Outro telefone de contato] deve ser informado
</t>
  </si>
  <si>
    <t xml:space="preserve">Quando preenchido, deve ter 8 ou 9 caracteres numéricos não uniformes
</t>
  </si>
  <si>
    <t xml:space="preserve">O primeiro caractere só pode ser 9 quando hover 9 caracteres
</t>
  </si>
  <si>
    <t xml:space="preserve">Quando preenchido, deve ter 8 ou 9 caracteres numéricos, não uniformes, diferente de [Telefone]
</t>
  </si>
  <si>
    <t xml:space="preserve">Regra de validação de e-mail :                                                    
not REGEXP_LIKE (tx_contato, "/^[-A-Z0-9~!$%^&amp;*_=+}{\'?]+(\.[-A-Z0-9~!$%^&amp;*_=+}{\'?]+)*@([A-Z0-9_][-A-Z0-9_]*(\.[-A-Z0-9_]+)*\.(AERO|ARPA|BIZ|COM|COOP|EDU|GOV|INFO|INT|MIL|MUSEUM|NAME|NET|ORG|PRO|TRAVEL|MOBI|[A-Z][A-Z])|([0-9]{1,3}\.[0-9]{1,3}\.[0-9]{1,3}\.[0-9]{1,3}))(:[0-9]{1,5})?$/i"
</t>
  </si>
  <si>
    <t xml:space="preserve">Apenas usuários com perfil Inep ou Estado podem alterar esse dado
</t>
  </si>
  <si>
    <t xml:space="preserve">Apenas usuários com perfil "Secretaria estadual" podem alterar esse dado quando a escola tiver uma secretaria estadual como entidade superior
</t>
  </si>
  <si>
    <t xml:space="preserve">Apenas usuários com perfil "Secretaria estadual" ou "Secretaria municipal" podem alterar esse dado quando a escola tiver uma secretaria municipal como entidade superior
</t>
  </si>
  <si>
    <t xml:space="preserve">Apenas usuários com perfil Inep, Estado ou Setec podem alterar esse dado
</t>
  </si>
  <si>
    <t xml:space="preserve">Apenas usuários com perfil Inep, Estado, Município ou Setec podem alterar esse dado
</t>
  </si>
  <si>
    <t xml:space="preserve">Apenas o perfil Inep poderá informar 1 e 5
</t>
  </si>
  <si>
    <t xml:space="preserve">Só pode ser 2, 4 ou 5 quando [Dependência administrativa] for 3
</t>
  </si>
  <si>
    <t xml:space="preserve">Não pode ser 2, 4 ou 5 quando [Município] for 5300108
</t>
  </si>
  <si>
    <t xml:space="preserve">Deve ser 0 quando a escola atual já tiver sido informada como escola sede de outra instituição de ensino
</t>
  </si>
  <si>
    <t xml:space="preserve">Quando preenchido, deve ter 8 caracteres numéricos
</t>
  </si>
  <si>
    <t xml:space="preserve">Quando preenchido, deve ser o código de uma escola ativa e diferente da escola atual
</t>
  </si>
  <si>
    <t xml:space="preserve">O primeiro caractere só pode ser 9 quando houver 9 caracteres
</t>
  </si>
  <si>
    <t>A-Z 0-9 _ . @</t>
  </si>
  <si>
    <t xml:space="preserve">Deve ser nulo quando a escola enviada for federal vinculada à Setec
</t>
  </si>
  <si>
    <t>Secretaria Estadual como poder público responsável pela parceria ou convênio entre a Administração Pública e outras instituições</t>
  </si>
  <si>
    <t>Secretaria Municipal como poder público responsável pela parceria ou convênio entre a Administração Pública e outras instituições</t>
  </si>
  <si>
    <t>Forma(s) de contratação da parceria ou convênio entre a escola e a Secretaria Municipal de Educação</t>
  </si>
  <si>
    <t>Forma(s) de contratação da parceria ou convênio entre a escola e a Secretaria Estadual de Educação</t>
  </si>
  <si>
    <t xml:space="preserve">Deve ser um CNPJ válido, quando [Situação de funcionamento] for 1, e [Mantenedora da escola privada – Instituição sem fins lucrativos] for 1, senão, deve ser nulo
</t>
  </si>
  <si>
    <t xml:space="preserve">Deve ser nulo quando [Situação de funcionamento] não for 1 ou [Dependência administrativa] não for 4, e, quando preenchido, deve ser um CNPJ válido
</t>
  </si>
  <si>
    <t xml:space="preserve">Quando preenchido, deve ser o código de uma escola da mesma dependência administrativa e UF da escola atual
</t>
  </si>
  <si>
    <t xml:space="preserve">Quando preenchido, deve ser o código de uma IES existente na "Tabela de IES", não paralisada ou extinta
</t>
  </si>
  <si>
    <t xml:space="preserve">Quando preenchido, deve ser o código de uma IES da mesma esfera da escola atual, ou seja, pública com pública e privada com privada. As IES públicas são as que tem a dependência administrativa igual a 1 (federal), 2 (estadual) ou 3 (municipal). As IES privadas são as que tem a dependência administrativa igual a 4 (privada)
</t>
  </si>
  <si>
    <t>Validação</t>
  </si>
  <si>
    <t xml:space="preserve">Deve estar de acordo com a UF do município informado em [Município]
</t>
  </si>
  <si>
    <t xml:space="preserve">Deve ter até 100 caracteres permitidos
</t>
  </si>
  <si>
    <t xml:space="preserve">Quando preenchido, deve ter até 10 caracteres permitidos
</t>
  </si>
  <si>
    <t xml:space="preserve">Quando preenchido, deve ter até 20 caracteres permitidos
</t>
  </si>
  <si>
    <t xml:space="preserve">Quando preenchido, deve ter até 50 caracteres permitidos
</t>
  </si>
  <si>
    <t xml:space="preserve">Usuários com perfil Setec só podem informar 1
</t>
  </si>
  <si>
    <t>1-Sim</t>
  </si>
  <si>
    <t xml:space="preserve">Deve ser preenchido com 10
</t>
  </si>
  <si>
    <t xml:space="preserve">Deve ser igual a [Código de escola - Inep] do registro 00 antecedente
</t>
  </si>
  <si>
    <t xml:space="preserve">Pelo menos um dos campos de 24 a 27 deve ser preenchido com 1
</t>
  </si>
  <si>
    <t xml:space="preserve">Deve ser nulo ou número de 1 a 9999
</t>
  </si>
  <si>
    <t xml:space="preserve">Se for 1 deve haver pelo menos um registro 20 para essa escola com [Tipo de mediação didático-pedagógica] igual a 1 ou 2
</t>
  </si>
  <si>
    <t>20</t>
  </si>
  <si>
    <t xml:space="preserve">Deve ser preenchido com 20
</t>
  </si>
  <si>
    <t xml:space="preserve">Deve ser um código exclusivo com até 20 caracteres (não deve haver mais de uma turma por escola com mesmo código)
</t>
  </si>
  <si>
    <t xml:space="preserve">Deve ser nulo (esse campo é usado somente na Exportação)
</t>
  </si>
  <si>
    <t>1-Presencial
2-Semipresencial
3-Educação a distância – EAD</t>
  </si>
  <si>
    <t xml:space="preserve">Deve ser 1, 2 ou 3
</t>
  </si>
  <si>
    <t>hora</t>
  </si>
  <si>
    <t xml:space="preserve">Deve ser nulo quando [Tipo de mediação didático-pedagógica] não for 1 </t>
  </si>
  <si>
    <t>hh:mm-hh:mm</t>
  </si>
  <si>
    <t xml:space="preserve">Deve ser nulo quando [Tipo de mediação didático-pedagógica] não for 1 
</t>
  </si>
  <si>
    <t xml:space="preserve">Deve ser nulo quando [Tipo de mediação didático-pedagógica] não for 1
</t>
  </si>
  <si>
    <t xml:space="preserve">Pelo menos um dos campos de 7 a 13 deve ser preenchido quando [Tipo de mediação didático-pedagógica] for 1
</t>
  </si>
  <si>
    <t>0-A turma não está em local de funcionamento diferenciado
1-Sala anexa
2-Unidade de atendimento socioeducativo
3-Unidade prisional</t>
  </si>
  <si>
    <t xml:space="preserve">Não pode ser 0 ou 1 quando o [Prédio escolar], [Sala(s) em outra escola], [Galpão/ rancho/ paiol/ barracão] e [Outros] no registro 10 forem 0
</t>
  </si>
  <si>
    <t xml:space="preserve">Não pode ser 2 quando [Unidade de atendimento socioeducativo] no registro 10 for 0
</t>
  </si>
  <si>
    <t xml:space="preserve">Não pode ser 3 quando [Unidade Prisional] no registro 10 for 0
</t>
  </si>
  <si>
    <t xml:space="preserve">Não pode ser 1 quando [Tipo de mediação didático-pedagógica] for 2 ou 3
</t>
  </si>
  <si>
    <t>Código de Etapa Agregada da Tabela de Etapas</t>
  </si>
  <si>
    <t>Código de Atividade Complementar da Tabela de Tipo de Atividade Complementar</t>
  </si>
  <si>
    <t xml:space="preserve">Se não for 1, deve haver “Docente” ou “Docente titular - coordenador de tutoria (de módulo ou disciplina) – EAD” (campo 7 do registro 50 igual a 1 ou 5) vinculado a essa turma
</t>
  </si>
  <si>
    <t xml:space="preserve">Não pode ser 1, 2, 3 ou 56 quando [Local de funcionamento diferenciado da turma] for 2 ou 3
</t>
  </si>
  <si>
    <t xml:space="preserve">Não pode ser 1, 2, 3, 39, 40, 56, 64, 69, 70, 71 ou 72 quando [Tipo de turma] for 4 ou 9
</t>
  </si>
  <si>
    <t>15 a 20</t>
  </si>
  <si>
    <t>1-Série/Ano (séries anuais)
2-Períodos semestrais
3-Ciclo(s)
4-Grupos não seriados com base na idade ou competência
5-Módulos</t>
  </si>
  <si>
    <t>Código de Etapa de Ensino da Tabela de Etapas</t>
  </si>
  <si>
    <t>Código do Curso da Tabela de Cursos da Educação Profissional</t>
  </si>
  <si>
    <t xml:space="preserve">Deve ser 0 quando [Etapa] não for 19,20,21,41; 22,23; 25,26,27,28,29; 35,36,37,38; 69,70,71,72,73,74; 39,40,64,68
</t>
  </si>
  <si>
    <t>1-Curso técnico
2-Qualificação profissional técnica</t>
  </si>
  <si>
    <t xml:space="preserve">Deve ser um código do curso de acordo com a Tabela de Cursos da Educação Profissional quando [Tipo do curso do itinerário de formação técnica e profissional] for 1, senão deve ser nulo
</t>
  </si>
  <si>
    <t xml:space="preserve">Deve ser 4, 5, 6 ou 9
</t>
  </si>
  <si>
    <t xml:space="preserve">Deve ser 0 ou 1 quando [Tipo de turma] for 6 ou 9, senão deve ser nulo
</t>
  </si>
  <si>
    <t xml:space="preserve">Deve ser um código de etapa de ensino permitida para a etapa agregada conforme Tabela de Etapas
</t>
  </si>
  <si>
    <t xml:space="preserve">Deve ser 0 ou 1
</t>
  </si>
  <si>
    <t xml:space="preserve">Deve ser 0 ou 1 quando [Etapa agregada] for 304 ou 305, senão deve ser nulo
</t>
  </si>
  <si>
    <t xml:space="preserve">Para ser 1 deve ser compatível com a [Etapa] informada, conforme a Tabela de Regras de Áreas do Conhecimento
</t>
  </si>
  <si>
    <t xml:space="preserve">Quando for 1 e [Tipo de mediação didático-pedagógica] for 3, deve haver um docente vinculado nessa área do conhecimento no registro 50
</t>
  </si>
  <si>
    <t xml:space="preserve">Quando preenchido deve estar no formato hh:mm-hh:mm (horário inicial - horário final)
</t>
  </si>
  <si>
    <t>momento</t>
  </si>
  <si>
    <t>status</t>
  </si>
  <si>
    <t>30</t>
  </si>
  <si>
    <t xml:space="preserve">Deve ser preenchido com 30
</t>
  </si>
  <si>
    <t>Validação e Processamento</t>
  </si>
  <si>
    <t>Importada Parcialmente</t>
  </si>
  <si>
    <t xml:space="preserve">Deve ser um código exclusivo com até 20 caracteres (não deve haver mais de um pessoa por escola com mesmo código)
</t>
  </si>
  <si>
    <t xml:space="preserve">Deve haver pelo menos um vínculo seja de gestor (40), professor (50) ou aluno (60)
</t>
  </si>
  <si>
    <t xml:space="preserve">Não pode ser o código de uma pessoa falecida, quando preenchido, deve ser o código de uma pessoa existente na base de dados ou excluída no processo de deduplicação
</t>
  </si>
  <si>
    <t xml:space="preserve">É obrigatório quando:
1) houver vínculo no registro 40;
2) houver vínculo no registro 50 e [Nacionalidade] for 1 ou 2;
3) houver vínculo no registro 60 nas etapas 67, 69, 70, 71, 72, 73 ou 74
É opcional nos outros casos, porém se não informado, o CPF nunca será apagado do banco do Inep
</t>
  </si>
  <si>
    <t>A-Z</t>
  </si>
  <si>
    <t>Educação infantil - creche</t>
  </si>
  <si>
    <t>Educação infantil - pré-escola</t>
  </si>
  <si>
    <t>Ensino fundamental de 9 anos - 1º Ano</t>
  </si>
  <si>
    <t>Ensino fundamental de 9 anos - 2º Ano</t>
  </si>
  <si>
    <t>Ensino fundamental de 9 anos - 3º Ano</t>
  </si>
  <si>
    <t>Ensino fundamental de 9 anos - 4º Ano</t>
  </si>
  <si>
    <t>Ensino fundamental de 9 anos - 5º Ano</t>
  </si>
  <si>
    <t>Ensino fundamental de 9 anos - 6º Ano</t>
  </si>
  <si>
    <t>Ensino fundamental de 9 anos - 7º Ano</t>
  </si>
  <si>
    <t>Ensino fundamental de 9 anos - 8º Ano</t>
  </si>
  <si>
    <t>Ensino fundamental de 9 anos - 9º Ano</t>
  </si>
  <si>
    <t>EJA - ensino fundamental - anos finais</t>
  </si>
  <si>
    <t>EJA - ensino fundamental - anos iniciais</t>
  </si>
  <si>
    <t>EJA - ensino médio</t>
  </si>
  <si>
    <t>Ensino médio - 1ª Série</t>
  </si>
  <si>
    <t>Ensino médio - 2ª Série</t>
  </si>
  <si>
    <t>Ensino médio - 3ª Série</t>
  </si>
  <si>
    <t>Ensino médio - 4ª Série</t>
  </si>
  <si>
    <t>Ensino médio - não seriada</t>
  </si>
  <si>
    <t>Ensino médio - normal/magistério - 1ª Série</t>
  </si>
  <si>
    <t>Ensino médio - normal/magistério - 2ª Série</t>
  </si>
  <si>
    <t>Ensino médio - normal/magistério - 3ª Série</t>
  </si>
  <si>
    <t>Ensino médio - normal/magistério - 4ª Série</t>
  </si>
  <si>
    <t>Curso técnico - concomitante</t>
  </si>
  <si>
    <t>Curso técnico - subsequente</t>
  </si>
  <si>
    <t>Curso técnico integrado na modalidade EJA (EJA integrada à educação profissional de nível médio)</t>
  </si>
  <si>
    <t>Curso FIC integrado na modalidade EJA  - nível médio</t>
  </si>
  <si>
    <t xml:space="preserve">Curso FIC integrado na modalidade EJA – nível fundamental </t>
  </si>
  <si>
    <t>função</t>
  </si>
  <si>
    <t>registro</t>
  </si>
  <si>
    <t>etapa</t>
  </si>
  <si>
    <t>Idade mínima</t>
  </si>
  <si>
    <t>Idade máxima</t>
  </si>
  <si>
    <t>Por função profissional</t>
  </si>
  <si>
    <t>característica da turma</t>
  </si>
  <si>
    <t>Itinerário formativo sem formação geral básica</t>
  </si>
  <si>
    <t>Local de funcionamento diferenciado igual a Unidade de atendimento socioeducativo</t>
  </si>
  <si>
    <t>Local de funcionamento diferenciado igual a Unidade prisional</t>
  </si>
  <si>
    <t>Gestor (registro 40)</t>
  </si>
  <si>
    <t>Profissional escolar em sala de aula (registro 50)</t>
  </si>
  <si>
    <t>Por etapa de ensino (registro 60)</t>
  </si>
  <si>
    <t>Por característca da turma (registro 60)</t>
  </si>
  <si>
    <t xml:space="preserve">Deve ser preenchido com uma data válida no formato dd/mm/aaaa, igual ou anterior ao Dia Nacional do Censo Escolar
</t>
  </si>
  <si>
    <t>0-Não declarado/Ignorado
1-Filiação 1 e/ou Filiação 2</t>
  </si>
  <si>
    <t xml:space="preserve">Quando for 0, [Filiação 1] e [Filiação 2] devem ser nulos
</t>
  </si>
  <si>
    <t>Deve ser 1 ou 2</t>
  </si>
  <si>
    <t>1-Masculino
2-Feminino</t>
  </si>
  <si>
    <t>0-Não Declarada
1-Branca
2-Preta
3-Parda
4-Amarela
5-Indígena</t>
  </si>
  <si>
    <t>Deve ser 0, 1, 2, 3, 4 ou 5</t>
  </si>
  <si>
    <t>1-Brasileira
2-Brasileira - nascido no Exterior ou Naturalizado
3-Estrangeira</t>
  </si>
  <si>
    <t>Código de país conforme a Tabela de Países</t>
  </si>
  <si>
    <t>Código de município conforme a Tabela de Municípios</t>
  </si>
  <si>
    <t>Código do povo indígena conforme a Tabela de Povos Indígenas</t>
  </si>
  <si>
    <t xml:space="preserve">Deve ser 1 quando houver vínculo no registro 60 em Classe Especial ou AEE
</t>
  </si>
  <si>
    <t xml:space="preserve">Deve ser 0 ou 1 quando [Pessoa física com deficiência, transtorno do espectro autista e altas habilidades ou superdotação] for 1, senão deve ser nulo
</t>
  </si>
  <si>
    <t xml:space="preserve">Essas combinações são incompatíveis:
a) Surdocegueira com Cegueira 
b) Surdocegueira com Baixa visão
c) Surdocegueira com Visão monocular
d) Surdocegueira com Surdez
e) Surdocegueira com Deficiência auditiva
f) Cegueira com Baixa Visão
g) Cegueira com Surdez
h) Cegueira com Visão monocular
i) Surdez com Deficiência auditiva
j) Baixa visão com Visão monocular
</t>
  </si>
  <si>
    <t xml:space="preserve">Deve ser 0 ou 1 quando houver vínculo no registro 60, senão deve ser nulo
</t>
  </si>
  <si>
    <t xml:space="preserve">Não é possível alterar de 1 para 0 via Migração (não será realizada qualquer ação nos campos de 29 a 35 quando não houver vínculo no registro 60)
</t>
  </si>
  <si>
    <t xml:space="preserve">Não é possível alterar de 1 para 0 via Migração  (não será realizada qualquer ação nos campos de 17 a 28 quando não houver vínculo no registro 60)
</t>
  </si>
  <si>
    <t>Compatibilidade de recursos para deficiências</t>
  </si>
  <si>
    <t>Auxílio- transcrição</t>
  </si>
  <si>
    <t xml:space="preserve">Prova ampliada (Fonte 18) </t>
  </si>
  <si>
    <t>Prova superampliada (Fonte  24)</t>
  </si>
  <si>
    <t xml:space="preserve">CD com áudio para deficiente visual           </t>
  </si>
  <si>
    <t xml:space="preserve">Prova de Língua Portuguesa como Segunda Língua para surdos e deficientes auditivos                                             </t>
  </si>
  <si>
    <t>Prova em Vídeo Libras</t>
  </si>
  <si>
    <t>recursos para deficiências</t>
  </si>
  <si>
    <t>N</t>
  </si>
  <si>
    <t>Recurso permitido para a deficiência</t>
  </si>
  <si>
    <t>Recurso não permitido mesmo quando as outras deficiências são compatíveis</t>
  </si>
  <si>
    <t>Transtorno do Processamento Auditivo Central (TPAC)"</t>
  </si>
  <si>
    <t>recursos para transtornos</t>
  </si>
  <si>
    <t>Compatibilidade de recursos para transtornos</t>
  </si>
  <si>
    <t xml:space="preserve">O ano de registro deve estar entre o ano em [Data de nascimento] e o ano corrente
</t>
  </si>
  <si>
    <t xml:space="preserve">Quando preenchido, deve ser uma matrícula válida para certidão de nascimento, contendo 30 caracteres numéricos, e mais 2 numéricos ou "XX"
</t>
  </si>
  <si>
    <t>0-9 A-Z</t>
  </si>
  <si>
    <t>Só pode ser preenchido quando houver vínculo no registro 60, na escola atual, senão deve ser nulo</t>
  </si>
  <si>
    <t xml:space="preserve">Quando [País de residência] for 76, pode ser um CEP válido da base do DNE
</t>
  </si>
  <si>
    <t xml:space="preserve">Deve ser 1 ou 2 quando [País de residência] for 76 e houver vínculo no registro 60, na escola atual, senão deve ser nulo
</t>
  </si>
  <si>
    <t xml:space="preserve">Deve ser 1, 2, 6 ou 7 quando houver vínculo no registro 40 ou 50, senão deve ser nulo
</t>
  </si>
  <si>
    <t>1-Não concluiu o ensino fundamental
2-Ensino fundamental
7-Ensino médio
6-Educação superior</t>
  </si>
  <si>
    <t xml:space="preserve">Deve ser 1, 2, 3 ou 4 quando [Maior nível de escolaridade concluída] for 6 ou 7, senão deve ser nulo
</t>
  </si>
  <si>
    <t>CEP no DNE</t>
  </si>
  <si>
    <t>Código de município da Tabela de Municípios</t>
  </si>
  <si>
    <t>1-Formação geral
2-Modalidade normal (magistério)
3-Curso técnico
4-Magistério indígena - modalidade normal</t>
  </si>
  <si>
    <t xml:space="preserve">Quando preenchido, deve ser um código da Tabela de Cursos de Formação Superior, diferente de [Código do Curso 1], quando [Maior nível de escolaridade concluída] for 6, senão deve ser nulo
</t>
  </si>
  <si>
    <t xml:space="preserve">Deve ser um código da Tabela de Cursos de Formação Superior quando [Maior nível de escolaridade concluída] for 6, senão deve ser nulo
</t>
  </si>
  <si>
    <t xml:space="preserve">Quando preenchido, deve ser um código da Tabela de Cursos de Formação Superior, diferente de [Código do Curso 1] e de [Código do Curso 2], quando [Maior nível de escolaridade concluída] for 6, senão deve ser nulo
</t>
  </si>
  <si>
    <t>Código da Tabela de Cursos de Formação Superior</t>
  </si>
  <si>
    <t>Código da Tabela de IES</t>
  </si>
  <si>
    <t xml:space="preserve">Os campos de 67 a 69 só podem ser preenchidos quando [Maior nível de escolaridade concluída] for 6 e houver vínculo no registro 50, na escola atual, senão devem ser nulos
</t>
  </si>
  <si>
    <t xml:space="preserve">Quando preenchido, deve ser um código da Tabela de Áreas do Conhecimento, diferente de 32 e 99
</t>
  </si>
  <si>
    <t xml:space="preserve">Quando preenchido, deve ser um código da Tabela de Áreas do Conhecimento, diferente de 32, 99 e de [Área do conhecimento/ componentes curriculares 1]
</t>
  </si>
  <si>
    <t xml:space="preserve">Quando preenchido, deve ser um código da Tabela de Áreas do Conhecimento, diferente de 32, 99 e de [Área do conhecimento/ componentes curriculares 1] e  [Área do conhecimento/ componentes curriculares 2]
</t>
  </si>
  <si>
    <t>Código da Tabela de Áreas do Conhecimento</t>
  </si>
  <si>
    <t>1-Especialização
2-Mestrado
3-Doutorado</t>
  </si>
  <si>
    <t>código da Tabela de Área de Pós-graduação</t>
  </si>
  <si>
    <t xml:space="preserve">Deve ser um código da Tabela de Área de Pós-graduação quando [Tipo de pós-graduação 1] for preenchido, senão deve ser nulo
</t>
  </si>
  <si>
    <t xml:space="preserve">Quando preenchido, deve ser 0 ou 1
</t>
  </si>
  <si>
    <t xml:space="preserve">Este dado não será alterado na base do Inep via Migração. Se for diferente dos emails já registrados, será feita a inclusão de novo email na base
</t>
  </si>
  <si>
    <t xml:space="preserve">Deve ser um ano no formato aaaa, não anterior ao menor dos anos em [Ano de Conclusão 1, 2 e 3], quando [Área da pós-graduação 1] for preenchido, senão deve ser nulo
</t>
  </si>
  <si>
    <t xml:space="preserve">Quando preenchido, deve ser 1, 2 ou 3
</t>
  </si>
  <si>
    <t xml:space="preserve">Deve ser um código da Tabela de IES quando [Código do Curso 1] for preenchido, senão deve ser nulo
</t>
  </si>
  <si>
    <t xml:space="preserve">Quando houver alteração de 6 para outra opção, os campos de 57 a 66 não serão alterados na base do Inep
</t>
  </si>
  <si>
    <t xml:space="preserve">Não pode ser 1 a menos que haja mais de uma deficiência informada com 1 nos campos 18 a 25
</t>
  </si>
  <si>
    <t xml:space="preserve">Deve ser preenchido com 50
</t>
  </si>
  <si>
    <t xml:space="preserve">Deve ser um código informado no [Código da pessoa física no sistema próprio] do registro 30, nessa escola
</t>
  </si>
  <si>
    <t xml:space="preserve">A pessoa física não pode ter dois vínculos na mesma escola como gestor escolar (dois registros 40 com o mesmo código da pessoa física no sistema próprio)
</t>
  </si>
  <si>
    <t xml:space="preserve">Deve ser igual a [Identificação única (Inep)] do registro 30 correspondente. A correspondência entre os registros 30 e 40 é feita através de [Código da pessoa física no sistema próprio]
</t>
  </si>
  <si>
    <t>1-Diretor(a)
2-Outro Cargo</t>
  </si>
  <si>
    <t>1-Ser proprietário(a) ou sócio(a)-proprietário(a) da escola
2-Exclusivamente por indicação/escolha da gestão
3-Processo seletivo qualificado e escolha/nomeação da gestão
4-Concurso público específico para o cargo de gestor escolar
5-Exclusivamente por processo eleitoral com a participação da comunidade escolar
6-Processo seletivo qualificado e eleição com a participação da comunidade escolar
7-Outros</t>
  </si>
  <si>
    <t>1 - Concursado/efetivo/estável
2 - Contrato temporário
3 - Contrato terceirizado
4 - Contrato CLT</t>
  </si>
  <si>
    <t>40</t>
  </si>
  <si>
    <t xml:space="preserve">Deve ser preenchido com 40
</t>
  </si>
  <si>
    <t xml:space="preserve">Deve ser igual a [Identificação única (Inep)] do registro 30 correspondente. A correspondência entre os registros 30 e 50 é feita através de [Código da pessoa física no sistema próprio]
</t>
  </si>
  <si>
    <t xml:space="preserve">Deve ser um código informado no [Código da Turma na Entidade/Escola] de algum registro 20 dessa escola
</t>
  </si>
  <si>
    <t>1-Docente
2-Auxiliar/assistente educacional
3-Profissional/monitor de atividade complementar
4-Tradutor e Intérprete de Libras
5-Docente titular - coordenador de tutoria (de módulo ou disciplina) - EAD
6-Docente tutor - auxiliar (de módulo ou disciplina) - EAD
7-Guia-Intérprete
8-Profissional de apoio escolar para aluno(a)s com deficiência (Lei 13.146/2015)
9-Instrutor da Educação Profissional</t>
  </si>
  <si>
    <t xml:space="preserve">Não pode ser 1, 2 , 3, 4, 7 ou 8 quando [Tipo de mediação didático-pedagógica {20}] for 3
</t>
  </si>
  <si>
    <t xml:space="preserve">Se for preenchido com 4, deve haver aluno ou outro profissional informado com "surdez", "deficiência auditiva" ou "surdocegueira" vinculado nesta turma
</t>
  </si>
  <si>
    <t xml:space="preserve">Deve ser 1, 2, 3, 4, 5, 6, 7, 8, ou 9
</t>
  </si>
  <si>
    <t xml:space="preserve">Só pode ser 5 ou 6 quando [Tipo de mediação didático-pedagógica {20}] for 3
</t>
  </si>
  <si>
    <t xml:space="preserve">Nenhuma turma pode ter apenas vínculo(s) com Tradutor(es)-Intérprete(s) de Libras ou Docente(s) tutor(es) - Auxiliar(es) (de módulo ou disciplina) - EAD
</t>
  </si>
  <si>
    <t xml:space="preserve">Deve ser 1, 2, 3 ou 4 quando [Função que exerce na turma] for 1, 5 ou 6 e [Dependência administrativa {00}] for 1, 2 ou 3, senão deve ser nulo
</t>
  </si>
  <si>
    <t xml:space="preserve">Não pode dois desses campos serem informados com o mesmo valor
</t>
  </si>
  <si>
    <t xml:space="preserve">Não podem todos os campos de 34 a 37 serem preenchidos com 0
</t>
  </si>
  <si>
    <t>Formação geral básica (FGB)</t>
  </si>
  <si>
    <t>Itinerário formativo de aprofundamento (IFA)</t>
  </si>
  <si>
    <t>Itinerário de formação técnica e profissional (IFTP)</t>
  </si>
  <si>
    <t xml:space="preserve">Deve ser 0 ou 1 quando [Função que exerce na turma] for 1, 5 ou 9, e [Itinerário de formação técnica e profissional (IFTP) {20}] for 1
</t>
  </si>
  <si>
    <t xml:space="preserve">Os códigos disponíveis para os campos de 9 a 33 devem ser [Áreas do conhecimento/componentes curriculares] informados como Sim (1) no respectivo registro 20 
</t>
  </si>
  <si>
    <t xml:space="preserve">Só pode ser preenchido se [Função que exerce na turma] for 1 ou 5 (quando preenchido, deve ser um código informado como 1 no respectivo registro 20), senão deve ser nulo
</t>
  </si>
  <si>
    <t xml:space="preserve">Só pode ser preenchido se o [Código] antecedente não for nulo (quando preenchido, deve ser um código informado como 1 no respectivo registro 20), senão deve ser nulo
</t>
  </si>
  <si>
    <t xml:space="preserve">Deve ser preenchido com 60
</t>
  </si>
  <si>
    <t xml:space="preserve">Deve ser igual a [Identificação única (Inep)] do registro 30 correspondente. A correspondência entre os registros 30 e 60 é feita através de [Código da pessoa física no sistema próprio]
</t>
  </si>
  <si>
    <t xml:space="preserve">Deve ser 1 ou 2 quando [Etapa {20}] for 3
</t>
  </si>
  <si>
    <t xml:space="preserve">Deve ser 14, 15, 16, 17, 18, 19, 20, 21 ou 41 quando [Etapa {20}] for 22 ou 23
</t>
  </si>
  <si>
    <t xml:space="preserve">Deve ser 69 ou 70 quando [Etapa {20}] for 72
</t>
  </si>
  <si>
    <t xml:space="preserve">Deve ser 1, 2, 14, 15, 16, 17, 18, 19, 20, 21 ou 41 quando [Etapa {20}] for 56
</t>
  </si>
  <si>
    <t xml:space="preserve">Deve ser 39 ou 40 quando [Etapa {20}] for 64
</t>
  </si>
  <si>
    <t xml:space="preserve">Deve ser nulo quando [Etapa {20}] for diferente de 3, 22, 23, 72, 56 e 64
</t>
  </si>
  <si>
    <t>1-Não recebe escolarização fora da escola
2-Em hospital
3-Em domicílio</t>
  </si>
  <si>
    <t>0-Não utiliza
1-Utiliza</t>
  </si>
  <si>
    <t>1-Estadual
2-Municipal</t>
  </si>
  <si>
    <t xml:space="preserve">Deve ser 1 ou 2 quando [Transporte escolar público] for 1, senão deve ser nulo
</t>
  </si>
  <si>
    <t xml:space="preserve">Deve ser 0 ou 1 quando [Transporte escolar público] for 1, senão deve ser nulo
</t>
  </si>
  <si>
    <t xml:space="preserve">Deve ser 0 ou 1 quando [Itinerário formativo de aprofundamento (IFA)] for 1, senão deve ser nulo
</t>
  </si>
  <si>
    <t xml:space="preserve">Deve ser 1 ou 2 quando [Itinerário de formação técnica e profissional (IFTP)] for 1, senão deve ser nulo
</t>
  </si>
  <si>
    <t xml:space="preserve">Só podem ser 1 as Áreas do itinerário formativo informadas com 1 no respectivo registro 20
</t>
  </si>
  <si>
    <r>
      <t xml:space="preserve">1. </t>
    </r>
    <r>
      <rPr>
        <sz val="10"/>
        <color rgb="FF002060"/>
        <rFont val="Arial"/>
        <family val="2"/>
      </rPr>
      <t>Se todas as escolas do arquivo se encontrarem com o status "Importada", o status do arquivo é "</t>
    </r>
    <r>
      <rPr>
        <b/>
        <sz val="10"/>
        <color rgb="FF002060"/>
        <rFont val="Arial"/>
        <family val="2"/>
      </rPr>
      <t>Arquivo importado</t>
    </r>
    <r>
      <rPr>
        <sz val="10"/>
        <color rgb="FF002060"/>
        <rFont val="Arial"/>
        <family val="2"/>
      </rPr>
      <t>".</t>
    </r>
  </si>
  <si>
    <r>
      <t xml:space="preserve">2. </t>
    </r>
    <r>
      <rPr>
        <sz val="10"/>
        <color rgb="FF002060"/>
        <rFont val="Arial"/>
        <family val="2"/>
      </rPr>
      <t>Se todas as escolas do arquivo se encontrarem com o status "Recusada", o status do arquivo é "</t>
    </r>
    <r>
      <rPr>
        <b/>
        <sz val="10"/>
        <color rgb="FF002060"/>
        <rFont val="Arial"/>
        <family val="2"/>
      </rPr>
      <t>Arquivo recusado</t>
    </r>
    <r>
      <rPr>
        <sz val="10"/>
        <color rgb="FF002060"/>
        <rFont val="Arial"/>
        <family val="2"/>
      </rPr>
      <t>".</t>
    </r>
  </si>
  <si>
    <r>
      <t xml:space="preserve">3. </t>
    </r>
    <r>
      <rPr>
        <sz val="10"/>
        <color rgb="FF002060"/>
        <rFont val="Arial"/>
        <family val="2"/>
      </rPr>
      <t>Para qualquer outra combinação, o status do arquivo é "</t>
    </r>
    <r>
      <rPr>
        <b/>
        <sz val="10"/>
        <color rgb="FF002060"/>
        <rFont val="Arial"/>
        <family val="2"/>
      </rPr>
      <t>Arquivo importado parcialmente</t>
    </r>
    <r>
      <rPr>
        <sz val="10"/>
        <color rgb="FF002060"/>
        <rFont val="Arial"/>
        <family val="2"/>
      </rPr>
      <t>".</t>
    </r>
  </si>
  <si>
    <t>Anexo 1 - Status do Arquivo</t>
  </si>
  <si>
    <t>Anexo 2 - Campos Comunus</t>
  </si>
  <si>
    <t>Anexo 3 - Idades Permitidas</t>
  </si>
  <si>
    <t>Anexo 4 - Recursos e Deficiências</t>
  </si>
  <si>
    <t xml:space="preserve">Deve ser utilizado o padrão ISO-8859-1 de codificação de caracteres
</t>
  </si>
  <si>
    <t xml:space="preserve">O registro 00 deve ter 53 campos
</t>
  </si>
  <si>
    <t xml:space="preserve">O registro 30 deve ter 108 campos
</t>
  </si>
  <si>
    <t xml:space="preserve">O registro 40 deve ter 7 campos
</t>
  </si>
  <si>
    <t xml:space="preserve">O registro 50 deve ter 38 campos
</t>
  </si>
  <si>
    <t xml:space="preserve">O registro 00 deve vir no começo do arquivo ou após um registro 40 ou após um registro 60
</t>
  </si>
  <si>
    <t xml:space="preserve">O registro 10 deve vir após um registro 00
</t>
  </si>
  <si>
    <t xml:space="preserve">O registro 20 deve vir após um registro 10 ou após um registro 20
</t>
  </si>
  <si>
    <t xml:space="preserve">O registro 30 deve vir após um registro 00 ou após um registro 20 ou após um registro 30
</t>
  </si>
  <si>
    <t xml:space="preserve">O registro 40 deve vir após um registro 30 ou após um registro 40
</t>
  </si>
  <si>
    <t xml:space="preserve">O registro 50 deve vir após um registro 40 ou após um registro 50
</t>
  </si>
  <si>
    <t xml:space="preserve">O registro 60 deve vir após um registro 50 ou após um registro 60
</t>
  </si>
  <si>
    <t xml:space="preserve">Somente os registros 00, 30 e 40 devem ser preenchidos quando [Situação de funcionamento {00}] for 2 ou 3
</t>
  </si>
  <si>
    <t xml:space="preserve">Deve ter, pelo menos, um registro de cada para a escolas em atividade
</t>
  </si>
  <si>
    <t xml:space="preserve">Deve haver somente um registro 00 e um registro 10 para cada escola
</t>
  </si>
  <si>
    <t xml:space="preserve">Deve haver até três registros 40 para cada escola
</t>
  </si>
  <si>
    <t xml:space="preserve">Não pode haver para a mesma escola mais de um registro 20 com [Nome da Turma], [Tipo de mediação didático-pedagógica], [Dias da semana e horários de funcionamento da turma], [Tipo de turma], [Local de funcionamento diferenciado], [Turma de Educação Especial (classe especial)] e [Etapa], iguais
</t>
  </si>
  <si>
    <t xml:space="preserve">Todas as turmas (registro 20) devem ter, pelo menos, um aluno (registro 60) vinculado
</t>
  </si>
  <si>
    <t xml:space="preserve">Todas as turmas (registro 20) devem ter, pelo menos, um profissional (registro 50) vinculado
</t>
  </si>
  <si>
    <t xml:space="preserve">Não pode haver letras minúsculas nem caracteres acentuados
</t>
  </si>
  <si>
    <t xml:space="preserve">Não é permitida a descaracterização da Pessoa física
A descaracterização é a alteração de mais de um campo do Grupo 1 com qualquer campo do Grupo 2, ou três campos do grupo 1;
Grupo 1: Nome completo, data de nascimento, filiação 1, filiação 2;
Grupo 2: sexo, cor/raça, país de nacionalidade, município de nascimento, Pessoa física com deficiência, transtorno do espectro autista e altas habilidades ou superdotação;
Observação: considerar a filiação 1 juntamente com a filiação 2, ou seja, se esses campos estiverem invertidos (filiação 1 na filiação 2 ou filiação 2 na filiação 1) não contar como sendo uma alteração
</t>
  </si>
  <si>
    <t xml:space="preserve">Uma pessoa (registro 30) pode ter apenas um registros na mesma turma, seja de aluno x aluno, profissional x profissional, ou profissional x aluno
</t>
  </si>
  <si>
    <t xml:space="preserve">Um aluno não pode ter dois vínculos em turmas presenciais diferentes, com horário coincidente conforme a Tabela de Regras Horários Coincidentes
</t>
  </si>
  <si>
    <t xml:space="preserve">Um aluno não pode ter mais de quatro vínculos em turmas de escolarização que tenham etapa
</t>
  </si>
  <si>
    <t xml:space="preserve">Um aluno não pode ter mais de dois vínculos em turmas de escolarização que tenham etapa diferente de 39, 40, 64 e 68
</t>
  </si>
  <si>
    <t xml:space="preserve">Um aluno não pode ter mais de quatro vínculos em turmas de AEE ou Atividade Complementar sem Escolarização
</t>
  </si>
  <si>
    <t xml:space="preserve">Um aluno não pode ter vínculo em turma de Itinerário Formativo exclusivo (IFA ou IFTP sem FGB) e, ao mesmo tempo, ter vínculo em turma com etapa 1, 2, 14, 15, 16, 17 ou 18
</t>
  </si>
  <si>
    <t xml:space="preserve">Se [Identificação única (Inep) {30}] e [Número do CPF {30}] não estiverem preenchidos, e [Certidão Nova {30}] estiver preenchida, a identificação da pessoa física será realizada conforme [Certidão Nova {30}]
</t>
  </si>
  <si>
    <t xml:space="preserve">Se [Identificação única (Inep) {30}] não estiver preenchido, e o campo [Número do CPF {30}] estiver preenchido, a identificação da pessoa física será realizada conforme [Número do CPF {30}]
</t>
  </si>
  <si>
    <t xml:space="preserve">Se [Identificação única (Inep) {30}] for preenchido, a identificação da pessoa física será realizada conforme [Identificação única (Inep) {30}]
</t>
  </si>
  <si>
    <t xml:space="preserve">Deve haver um registro "99|" (99 seguido de um pipe "|") ao final do arquivo, independentemente do número de escolas, sinalizando o final do arquivo
</t>
  </si>
  <si>
    <t xml:space="preserve">Os arquivos devem ter no máximo 100 escolas
</t>
  </si>
  <si>
    <t xml:space="preserve">Cada escola pode ter no máximo 1.500 turmas
</t>
  </si>
  <si>
    <t xml:space="preserve">Quando ocorrer um erro não previsto nas regras, será apresentada a mensagem de erro:
"Erro interno. Ocorreu um erro não previsto. Entre em contato com o Inep"
</t>
  </si>
  <si>
    <t xml:space="preserve">Se [Identificação única (Inep) {30}], [Número do CPF {30}] e [Certidão Nova {30}] não estiverem preenchidos, será pesquisado na base do Inep (tabela de pessoa física], pelo nome, data de nascimento e filiação (considerar a filiação 1 juntamente com a filiação 2, mesmo se invertidos). 
Se for encontrado apenas um resultado, a identificação da pessoa física deve ser realizada conformes esses dados. Se for encontrado mais de um resultado ou nenhum resultado, será criado um novo registro de pessoa física (nova Identificação única)
</t>
  </si>
  <si>
    <t>Legenda das colunas nas abas dos registros</t>
  </si>
  <si>
    <t xml:space="preserve">Deve ser 32, 68, 76, 170, 328, 254, 600, 604, 740, 858 ou 862 quando houver vínculo no registro 60, na escola atual, é opcional quando não houver vínculo no registro 60, na escola atual
</t>
  </si>
  <si>
    <t xml:space="preserve">Quando [País de residência] for 76, pode ser 1, 2, 3, 7 ou 8, senão deve ser nulo
</t>
  </si>
  <si>
    <t xml:space="preserve">A combinação de [Tipo de pós-graduação], [Área da pós-graduação] e [Ano de conclusão da pós-graduação] não pode ser repetida
</t>
  </si>
  <si>
    <t>Quando preenchido, deve ser 1, 2 ou 3</t>
  </si>
  <si>
    <t xml:space="preserve">Deve ser um código da Tabela de Área de Pós-graduação quando [Tipo de pós-graduação 2] for preenchido, senão deve ser nulo
</t>
  </si>
  <si>
    <t xml:space="preserve">Deve ser um código da Tabela de Área de Pós-graduação quando [Tipo de pós-graduação 4] for preenchido, senão deve ser nulo
</t>
  </si>
  <si>
    <t xml:space="preserve">Deve ser um ano no formato aaaa, não anterior ao menor dos anos em [Ano de Conclusão 1, 2 e 3], quando [Área da pós-graduação 2] for preenchido, senão deve ser nulo
</t>
  </si>
  <si>
    <t xml:space="preserve">Deve ser um código da Tabela de Área de Pós-graduação quando [Tipo de pós-graduação 3] for preenchido, senão deve ser nulo
</t>
  </si>
  <si>
    <t xml:space="preserve">Deve ser um ano no formato aaaa, não anterior ao menor dos anos em [Ano de Conclusão 1, 2 e 3], quando [Área da pós-graduação 3] for preenchido, senão deve ser nulo
</t>
  </si>
  <si>
    <t xml:space="preserve">Deve ser um ano no formato aaaa, não anterior ao menor dos anos em [Ano de Conclusão 1, 2 e 3], quando [Área da pós-graduação 4] for preenchido, senão deve ser nulo
</t>
  </si>
  <si>
    <t xml:space="preserve">Deve ser um código da Tabela de Área de Pós-graduação quando [Tipo de pós-graduação 5] for preenchido, senão deve ser nulo
</t>
  </si>
  <si>
    <t xml:space="preserve">Deve ser um ano no formato aaaa, não anterior ao menor dos anos em [Ano de Conclusão 1, 2 e 3], quando [Área da pós-graduação 5] for preenchido, senão deve ser nulo
</t>
  </si>
  <si>
    <t xml:space="preserve">Deve ser um código da Tabela de Área de Pós-graduação quando [Tipo de pós-graduação 6] for preenchido, senão deve ser nulo
</t>
  </si>
  <si>
    <t xml:space="preserve">Deve ser um ano no formato aaaa, não anterior ao menor dos anos em [Ano de Conclusão 1, 2 e 3], quando [Área da pós-graduação 6] for preenchido, senão deve ser nulo
</t>
  </si>
  <si>
    <t xml:space="preserve">Pode ser 1 somente quando não tiver sido informada nenhuma pós-graduação concluída
</t>
  </si>
  <si>
    <t xml:space="preserve">Caso este campo seja preenchido com 1, as informações de pós-graduações concluídas na base de dados do Inep não serão alteradas ou apagadas
</t>
  </si>
  <si>
    <t xml:space="preserve">O arquivo deve possuir a extensão .txt, tamanho máximo de 20Mb, conter no nome o máximo 20 caracteres, somente poderá conter letras, números e underscore, sem espaços
</t>
  </si>
  <si>
    <t xml:space="preserve">Deve ser uma data válida entre 29/05/2025 e 27/05/2026 no formato dd/mm/aaaa quando [Situação de funcionamento] for 1, senão deve ser nulo
</t>
  </si>
  <si>
    <t xml:space="preserve">Deve ser uma data válida a partir de 29/05/2025 e posterior a [Data de início do ano escola] e anterior a 27/05/2026 no formato dd/mm/aaaa quando [Data de início do ano letivo] for preenchido, senão deve ser nulo
</t>
  </si>
  <si>
    <t xml:space="preserve">Deve ter de 4 a 100 caracteres permitidos
</t>
  </si>
  <si>
    <t xml:space="preserve">Se preenchido, deve ter até 100 caracteres permitidos
</t>
  </si>
  <si>
    <t xml:space="preserve">Deve ter até 5 caracteres permitidos
</t>
  </si>
  <si>
    <t xml:space="preserve">Quando preenchido, deve estar de acordo com o estado do [Município]
</t>
  </si>
  <si>
    <t xml:space="preserve">Deve ser 1 ou 2
</t>
  </si>
  <si>
    <t xml:space="preserve">Deve ser 1, 2, 3, 7 ou 8
</t>
  </si>
  <si>
    <t xml:space="preserve">Não pode ser 1 quando [Localização/ Zona da escola] for 1
</t>
  </si>
  <si>
    <t xml:space="preserve">Deve ser 1, 2, 3, ou 4
</t>
  </si>
  <si>
    <t xml:space="preserve">Não pode ser 3 quando [Município] for 5300108
</t>
  </si>
  <si>
    <t xml:space="preserve">Deve ser 0 ou 1 quando [Dependência administrativa] for 1, 2 ou 3, senão deve ser nulo
</t>
  </si>
  <si>
    <t xml:space="preserve">Deve ser 1 quando a escola tiver "Setec" como entidade superior
</t>
  </si>
  <si>
    <t xml:space="preserve">Deve ser 0 quando a escola tiver "Setec" como entidade superior
</t>
  </si>
  <si>
    <t xml:space="preserve">Deve ser 0 ou 1 quando [Situação de funcionamento] for 1 e [Dependência administrativa] for 4, senão deve ser nulo
</t>
  </si>
  <si>
    <t xml:space="preserve">Deve ser 0 ou 1 quando [Situação de funcionamento] for 1, senão deve ser nulo
</t>
  </si>
  <si>
    <t xml:space="preserve">Deve ser 0 ou 1 quando [Secretaria Estadual como poder público responsável pela parceria ou convênio entre a Administração Pública e outras instituições] for 1, senão deve ser nulo
</t>
  </si>
  <si>
    <t xml:space="preserve">Deve ser 0 ou 1 quando [Secretaria Municipal como poder público responsável pela parceria ou convênio entre a Administração Pública e outras instituições] for 1, senão deve ser nulo
</t>
  </si>
  <si>
    <t xml:space="preserve">Deve ser 0, 1 ou 2 quando [Situação de funcionamento] for 1, senão deve ser nulo
</t>
  </si>
  <si>
    <t xml:space="preserve">Deve ser 1, 2, 3, 4 ou 5 quando [Regulamentação/ autorização no conselho ou órgão municipal, estadual ou federal de educação] for 1 ou 2, senão deve ser nulo
</t>
  </si>
  <si>
    <t xml:space="preserve">Deve ser 0, 1 ou 2 somente quando [Situação de funcionamento] for 1, senão deve ser nulo
</t>
  </si>
  <si>
    <t xml:space="preserve">Deve ser preenchido quando [Unidade vinculada a escola de educação básica ou unidade ofertante de ensino superior] for 1, senão deve ser nulo
</t>
  </si>
  <si>
    <t xml:space="preserve">Deve ser preenchido quando [Unidade vinculada a escola de educação básica ou unidade ofertante de ensino superior] for 2, senão deve ser nulo
</t>
  </si>
  <si>
    <t xml:space="preserve">Deve ter 8 caracteres numéricos quando [Prédio escolar compartilhado com outra escola] for 1, senão deve ser nulo
</t>
  </si>
  <si>
    <t xml:space="preserve">Quando preenchido deve ser uma escola em atividade, ser do mesmo estado e diferente da escola atual
</t>
  </si>
  <si>
    <t xml:space="preserve">Deve ser 0 ou 1 quando [Não possui acesso à internet] for 0, senão deve ser nulo
</t>
  </si>
  <si>
    <t xml:space="preserve">Deve ser 0, 1, 2 ou 3
</t>
  </si>
  <si>
    <t xml:space="preserve">Deve ser 1, 2 ou 3 quando [Para uso dos aluno(a)s] for 1, senão deve ser nulo
</t>
  </si>
  <si>
    <t xml:space="preserve">Não pode ser 1 ou 3 quando [Computadores de mesa (desktop)], [Computadores portáteis] e [Tablets] forem nulos
</t>
  </si>
  <si>
    <t xml:space="preserve">Não pode ser 1 ou 3 quando quando  [Computadores] for 0, e [Equipamentos que os alunos usam para acessar a internet da escola] for nulo
</t>
  </si>
  <si>
    <t xml:space="preserve">Deve ser 2 ou 3 quando [Equipamentos que os alunos usam para acessar a internet da escola] for 2 ou 3
</t>
  </si>
  <si>
    <t xml:space="preserve">Deve ser um código de língua indígena válido quando [Língua em que o ensino é ministrado] for 1 ou 3, senão deve ser nulo
</t>
  </si>
  <si>
    <t xml:space="preserve">Deve ser um código de língua indígena válido e não repetido quando [Língua em que o ensino é ministrado] for 1 ou 3, senão, deve ser nulo
</t>
  </si>
  <si>
    <t xml:space="preserve">Deve ser 0 ou 1 quando [A escola faz exame de seleção para ingresso de seus aluno(a)s (avaliação por prova e /ou analise curricular)] for 1, senão deve ser nulo
</t>
  </si>
  <si>
    <t>Deve ser 0, 1 ou 2</t>
  </si>
  <si>
    <t xml:space="preserve">Deve ser 0 ou 1 quando [A escola desenvolve ações na área de educação ambiental?] for 1, senão deve ser nulo
</t>
  </si>
  <si>
    <t xml:space="preserve">Deve ter até 80 caracteres permitidos
</t>
  </si>
  <si>
    <t xml:space="preserve">As horas devem estar no padrão de 24 horas [00 a 23] de dois dígitos, os minutos devem ser múltiplos de 5 [00 a 55] de dois dígitos, o horário inicial deve ser menor que o horário-final
</t>
  </si>
  <si>
    <t xml:space="preserve">Pelo menos um dos campos de 15 a 20 deve ser preenchido quando [Tipo de turma] for 4 ou 9
</t>
  </si>
  <si>
    <t xml:space="preserve">Não pode ter dois ou mais códigos iguais
</t>
  </si>
  <si>
    <t xml:space="preserve">Deve ser um código da Tabela de Tipo de Atividade Complementar, quando [Tipo de turma] for 4 ou 9, senão deve ser nulo
</t>
  </si>
  <si>
    <t xml:space="preserve">Deve 0, 1, 2 ou 3
</t>
  </si>
  <si>
    <t xml:space="preserve">Deve ser um código da Tabela de Etapas quando [Etapa agregada] for 301, 302, 303, 306 ou 308
</t>
  </si>
  <si>
    <t xml:space="preserve">Deve ser 25, 26, 27, 28 ou 29 quando [Etapa agregada] for 304, [(Formação geral básica (FGB)] for 1, e [Itinerário de formação técnica e profissional (IFTP)] for 0
</t>
  </si>
  <si>
    <t xml:space="preserve">Deve ser 35, 36, 37 ou 38 quando [Etapa agregada] for 305, e [Formação geral básica (FGB)] for 1
</t>
  </si>
  <si>
    <t xml:space="preserve">Deve ser um código da Tabela de Etapas quando [Formação geral básica (FGB)] for 1
</t>
  </si>
  <si>
    <t xml:space="preserve">Para informar o Curso técnico integrado (correspondente às antigas etapas de ensino 30, 31, 32, 33 e 34) deve ser preenchida a etapa agregada 304 ou 305. Além disso, a [Formação geral básica (FGB)], o [Itinerário de formação técnica e profissional (IFTP)] e o [Tipo do curso do itinerário de formação técnica e profissional] devem ser marcados com 1, e o [Código do curso técnico] com o código do respectivo curso
</t>
  </si>
  <si>
    <t xml:space="preserve">Deve ser 1, 2, 3, 4 ou 5 quando [Etapa] não for 1, 2 e 3, senão deve ser nulo
</t>
  </si>
  <si>
    <t xml:space="preserve">Deve ser 0 ou 1 quando [Etapa] não for 1, 2 ou 3, senão deve ser nulo
</t>
  </si>
  <si>
    <t xml:space="preserve">Deve ser compatível com as idades permitidas no Anexo 3. Para o cálculo da idade, considera-se o ano corrente menos o ano de nascimento
</t>
  </si>
  <si>
    <t xml:space="preserve">Quando [Número do CPF] for preenchido (ou quando for encontrado na base do Inep), deve ser igual ao registrado na base da RF
</t>
  </si>
  <si>
    <t xml:space="preserve">Deve ser um código da Tabela de Povos Indígenas quando [Cor/Raça] for 5, senão deve ser nulo
</t>
  </si>
  <si>
    <t xml:space="preserve">Deve ser um código da Tabela de Países
</t>
  </si>
  <si>
    <t xml:space="preserve">Deve ser 76 quando [Nacionalidade] for 1 ou 2, senão deve ser outro código
</t>
  </si>
  <si>
    <t xml:space="preserve">Deve ser um código da Tabela de Municípios, quando [Nacionalidade] for 1, senão deve ser nulo
</t>
  </si>
  <si>
    <t xml:space="preserve">Quando preenchido, deve ser compatível com os recursos permitidos no Anexo 4
</t>
  </si>
  <si>
    <t xml:space="preserve">Se [Cegueira] ou [Surdocegueira] forem 1, o campo atual só pode ser 1 quando pelo menos mais um dos campos de 36 a 48 forem 1
</t>
  </si>
  <si>
    <t xml:space="preserve">Este dado não será excluído da base do Inep via migração quando for nulo
</t>
  </si>
  <si>
    <t xml:space="preserve">Não pode ser informado para outro aluno
</t>
  </si>
  <si>
    <t xml:space="preserve">Deve ser um código da Tabela de Municípios, de acordo e quando [CEP] for preenchido
</t>
  </si>
  <si>
    <t xml:space="preserve">Este dado só pode ser alterado quando a pessoa tiver vínculo 60 exclusivamente com a escola atual
</t>
  </si>
  <si>
    <t xml:space="preserve">Não pode ser 1 quando [Localização/ Zona de residência] for 1
</t>
  </si>
  <si>
    <t xml:space="preserve">Quando [Código do Curso 1] for preenchido, deve ser um ano no formato aaaa, entre o ano de [Data de Nascimento] + 1 e 2026, não pode ser menor que 1940, senão deve ser nulo
</t>
  </si>
  <si>
    <t xml:space="preserve">Quando [Código do Curso 2] for preenchido, deve ser um ano no formato aaaa, entre o ano de [Data de Nascimento] + 1 e 2026, não pode ser menor que 1940, senão deve ser nulo
</t>
  </si>
  <si>
    <t xml:space="preserve">Quando [Código do Curso 3] for preenchido, deve ser um ano no formato aaaa, entre o ano de [Data de Nascimento] + 1 e 2026, não pode ser menor que 1940, senão deve ser nulo
</t>
  </si>
  <si>
    <t xml:space="preserve">Quando [Maior nível de escolaridade concluída] for 6, deve ser informada uma ou mais pós graduações concluídas ou que não tem pós-graduação concluída
</t>
  </si>
  <si>
    <t xml:space="preserve">Deve ser preenchido quando a pessoa tiver vínculo no registro 40 da escola atual, senão deve ser nulo
</t>
  </si>
  <si>
    <t xml:space="preserve">Só pode ser 9 quando [Itinerário de formação técnica e profissional (IFTP) {20}] for 1  e [Etapa] for 39, 40, 73, 74, 64, 67 ou 68
</t>
  </si>
  <si>
    <t xml:space="preserve">Se [Organização curricular da turma {20}] for simultaneamente FGB e IFA, e se [Código 1] for nulo, é obrigatório o preenchimento dos campos 34 a 37
</t>
  </si>
  <si>
    <t xml:space="preserve">Deve ser 0 ou 1 quando [Função que exerce na turma] for 1 ou 5, e [Formação geral básica (FGB) {20}] e [Itinerário formativo de aprofundamento (IFA) {20} forem 1, senão deve ser nulo
</t>
  </si>
  <si>
    <t>Nota de mudanças no Layout da Matrícula Incial 2026 em relação a 2025</t>
  </si>
  <si>
    <t xml:space="preserve">Regras de validação foram condensadas. Por exemplo, campos que tinham {1.Deve ser preenchido, 2.Deve ser numérico, 3.Aceita 0-Não e 1-Sim}, ficaram como {1.Deve ser preenchido com 0 ou 1}. Isso reduziu o número de regras, deixando a validação mais fluída.
</t>
  </si>
  <si>
    <t xml:space="preserve">Lista de itens de marcação {0-Não e 1-Sim} com um dos campos sendo "Nenhum dos itens", onde havia a regra {Não pode ser preenchido com 1 (Sim) quando "Nenhum dos itens" for preenchido com 1 (Sim)}, para esses campos, a regra em cada item foi deslocada para a opção "Nenhum dos itens" ficando: {"Não pode ser 1 quando qualquer dos campos de X a Y for 1"}, isso reduziu o número de regras mantendo o mesmo critério.
</t>
  </si>
  <si>
    <t xml:space="preserve">As legendas das opções foram omitidas nas regras. Por exemplo: "Pelo menos um dos campos de 70 a 88 deve ser preenchido quando o campo 56 (Maior nível de escolaridade concluída) for preenchido com 6 (Ensino superior)" ficando "Pelo menos um dos campos de 70 a 88 deve ser preenchido quando [Maior nível de escolaridade concluída] for preenchido com 6". O número do campo foi omitido visando não ter que atualizar a regra quando um campo for adicionado ou excluído. A legenda da opção 6 "(Ensino superior)" foi omitida visando deixar a regra somente com informação essencial (já que quem vai ler a regra é um programador, e não precisa saber que 6 é Ensino superior e sim que o [Maior nível de escolaridade concluída] deve ser 6). Isso facilita o entendimento da regra, deixando-a mais concisa.
</t>
  </si>
  <si>
    <t xml:space="preserve">Alguns campos com aspecto de lista de itens de marcação {0-Não e 1-Sim} foram alterados para um só campo de seleção. Por exemplo [Equipamentos que os alunos usam para acessar a internet da escola] que antes continha 2 campos [Computadores de mesa, portáteis e tablets da escola (no laboratório de informática, biblioteca, sala de aula etc.)] e [Dispositivos pessoais (computadores portáteis, celulares, tablets etc.)] foi transformado em um só campo de seleção contendo as opções:
	1-Computadores de mesa, portáteis e tablets da escola(laboratório de informática, biblioteca, salas de aula, etc.)
	2-Dispositivos pessoais (computadores portáteis, celulares, tablets, etc.)
	3-Computadores de mesa, portáteis e tablets da escola (no laboratório de informática, biblioteca, sala de aula, etc.) e Dispositivos pessoais (computadores portáteis, celulares, tablets, etc.)
Isso foi feito com base na estrutura do banco de dados do Inep. Essa estratégia possibilitou reduzir o número de campos e consequentemente o número de regras, porém obedecendo ao critério anterior.
</t>
  </si>
  <si>
    <t xml:space="preserve">As regras de combinação de deficiências, transtornos e recursos no registro 30 foram deslocadas para o Anexo 4. Isso evita alterar a descrição da regra quando houver alteração, inclusão ou exclusão em alguma deficiência, transtorno ou recurso.
</t>
  </si>
  <si>
    <t xml:space="preserve">As regras de idades permitidas no registro 30 foram deslocadas para o Anexo 3. Isso evita alterar a descrição da regra quando houver alterações nas idades compatíveis.
</t>
  </si>
  <si>
    <t>O que foi feito?</t>
  </si>
  <si>
    <t xml:space="preserve">As atualizações serão descritas nesta planilha a fim de facilitar a leitura dos campos ou regras inseridos, modificados ou excluídos. Dessa forma, durante processo, haverá um histórico de cada versão do Layout.
</t>
  </si>
  <si>
    <t xml:space="preserve">Deve ser 25,26,27,28,29; 35,36,37,38; 39,40,64,68,75; 67,70,71,73 ou 74 quando [Tipo de mediação didático-pedagógica] for 3
</t>
  </si>
  <si>
    <t xml:space="preserve">Deve ser uma etapa agregada da Tabela de Etapas, conforme regras do Tipo de turma x Etapa, quando [Tipo de turma] for 6 ou 9, senão deve ser nulo
</t>
  </si>
  <si>
    <t xml:space="preserve">Deve ser um código da Tabela de Cursos da Educação Profissional quando [Etapa] for 39, 40, 64, 74 ou 75, senão deve ser nulo
</t>
  </si>
  <si>
    <t>Carga horária total do curso</t>
  </si>
  <si>
    <t>30 a 32</t>
  </si>
  <si>
    <t xml:space="preserve">Pelo menos um dos campos de 30 a 32 deve ser 1 quando [Etapa agregada] for 304 ou 305
</t>
  </si>
  <si>
    <t>33 a 36</t>
  </si>
  <si>
    <t xml:space="preserve">Pelo menos um dos campos de 33 a 36 deve ser 1 quando [Itinerário formativo de aprofundamento (IFA)] for 1
</t>
  </si>
  <si>
    <t>39 a 65</t>
  </si>
  <si>
    <t xml:space="preserve">O registro 20 deve ter 66 campos
</t>
  </si>
  <si>
    <t>Carga horária integralizada pelo(a) aluno(a) no curso técnico ou de qualificação profissional</t>
  </si>
  <si>
    <t xml:space="preserve">Deve ser preenchido quando [Itinerário de formação técnica e profissional (IFTP) {20}] for 1, ou quando [Etapa {20}] for 39, 40, 67, 68, 73 ou 75
</t>
  </si>
  <si>
    <t>10 a 20</t>
  </si>
  <si>
    <t>24 a 33</t>
  </si>
  <si>
    <t xml:space="preserve">O registro 60 deve ter 33 campos
</t>
  </si>
  <si>
    <t>versão</t>
  </si>
  <si>
    <t>atualmente</t>
  </si>
  <si>
    <t>anteriormente</t>
  </si>
  <si>
    <t>inclusão</t>
  </si>
  <si>
    <t>v2</t>
  </si>
  <si>
    <t>mudança</t>
  </si>
  <si>
    <t>Deve estar entre 160 e 800 horas quando se tratar de Qualificação profissional técnica</t>
  </si>
  <si>
    <t>Deve estar entre 160 e 800 quando se tratar de Qualificação profissional técnica</t>
  </si>
  <si>
    <t xml:space="preserve">Deve estar entre 160 e 800 horas quando se tratar de Qualificação profissional técnica
</t>
  </si>
  <si>
    <t xml:space="preserve">Carga horária total do curso (em horas)
</t>
  </si>
  <si>
    <t>mudou o nome do campo para dar mais clareza</t>
  </si>
  <si>
    <t>v1</t>
  </si>
  <si>
    <t>inexistente</t>
  </si>
  <si>
    <t>mudança estrutural no Layout</t>
  </si>
  <si>
    <t xml:space="preserve">Código do eixo do curso de qualificação profissional
</t>
  </si>
  <si>
    <t xml:space="preserve">Carga horária total do curso
</t>
  </si>
  <si>
    <t xml:space="preserve">Carga horária integralizada pelo(a) aluno(a) no curso técnico ou de qualificação profissional
</t>
  </si>
  <si>
    <t>regra 2</t>
  </si>
  <si>
    <t>regra 1</t>
  </si>
  <si>
    <t>ação corretiva, o range de datas não abrangia o período necessário para o Censo 2026</t>
  </si>
  <si>
    <t xml:space="preserve">Deve ser uma data válida a partir de 28/05/2026 e posterior a [Data de início do ano escola], e anterior a 26/05/2027 no formato dd/mm/aaaa quando [Data de início do ano letivo] for preenchido, senão deve ser nulo
</t>
  </si>
  <si>
    <t>não estava clara a descrição, podendo ser interpretada como minutos</t>
  </si>
  <si>
    <t xml:space="preserve">Carga horária integralizada pelo(a) aluno(a) no curso técnico ou de qualificação profissional (em horas)
</t>
  </si>
  <si>
    <t xml:space="preserve">Deve ser 1, 2, 3 ou 4 quando [Dependência administrativa] for 4, senão deve ser nulo
</t>
  </si>
  <si>
    <t>Federal</t>
  </si>
  <si>
    <t>Estadual</t>
  </si>
  <si>
    <t>Municipal</t>
  </si>
  <si>
    <t>Privada
(Particular)</t>
  </si>
  <si>
    <t>Privada
(não Particular)</t>
  </si>
  <si>
    <t>Aplicável tanto para Secretaria Estadual de Educação quanto para Secretaria Municipal de Educação</t>
  </si>
  <si>
    <t>Anexo 5 - Forma de contratação da parceria permitida para as Dependências Administrativas</t>
  </si>
  <si>
    <t>formas x dependências</t>
  </si>
  <si>
    <t>{regras específicas para cada campo}</t>
  </si>
  <si>
    <t>as regras de permissão foram deslocadas para o Anexo 5, isso facilita posteriores alterações, inclusões ou exclusões de campo</t>
  </si>
  <si>
    <t>regras 2</t>
  </si>
  <si>
    <t xml:space="preserve">Apenas usuários com perfil Inep, Estado, Município ou Setec podem alterar esses dados
</t>
  </si>
  <si>
    <t>regras 3</t>
  </si>
  <si>
    <t xml:space="preserve">Apenas usuários com perfil Inep, Estado ou Setec podem alterar esses dados
</t>
  </si>
  <si>
    <t>exclusão</t>
  </si>
  <si>
    <t>deslocamento de regra com a finalidade de simplificar, não há mudança estrutural</t>
  </si>
  <si>
    <t>campos 35 até 40</t>
  </si>
  <si>
    <t>campos 41 até 46</t>
  </si>
  <si>
    <t>X = permitido</t>
  </si>
  <si>
    <t xml:space="preserve">regras deslocadas para 41 a 46
</t>
  </si>
  <si>
    <t xml:space="preserve">regras deslocadas para 35 a 41
</t>
  </si>
  <si>
    <t>Células vazias indicam incompatibilidade do recurso para a deficiência</t>
  </si>
  <si>
    <t xml:space="preserve">O preenchimento deve ser compatível com a forma de contratação permitida no Anexo 5
</t>
  </si>
  <si>
    <t>regra 3</t>
  </si>
  <si>
    <t xml:space="preserve">Não pode ser um código de  turma em que o profissional tenha vínculo de aluno (isto é, a pessoa não pode ser profissional e aluno na mesma turma)
</t>
  </si>
  <si>
    <t xml:space="preserve">Não pode ser 1 quando [Prova Ampliada (Fonte 18)] for 1
</t>
  </si>
  <si>
    <t>a regra não mudou em relação ao ano anterior</t>
  </si>
  <si>
    <t xml:space="preserve">Deve ser um código da Tabela de Cursos da Educação Profissional quando [Etapa] for 39, 40, 64 ou 74, senão deve ser nulo
</t>
  </si>
  <si>
    <t>o código 75 não faz parte da regra</t>
  </si>
  <si>
    <t>81 a 90</t>
  </si>
  <si>
    <t>v3</t>
  </si>
  <si>
    <t>-</t>
  </si>
  <si>
    <t>96 a 102</t>
  </si>
  <si>
    <t>111 a 115</t>
  </si>
  <si>
    <t xml:space="preserve">Esses campos, se preenchidos, devem ser de forma sequencial, não pode haver campos vazios entre 2 códigos de escola
</t>
  </si>
  <si>
    <t>Ajuste textual</t>
  </si>
  <si>
    <t>41 a 80</t>
  </si>
  <si>
    <t xml:space="preserve">Deve ser 1 quando qualquer dos campos de [Banheiro acessível adequado ao uso de pessoas com deficiência ou mobilidade reduzida] a [Banheiro ou vestiário com chuveiro] for 1
</t>
  </si>
  <si>
    <t xml:space="preserve">Deve ser 1 quando todos os campos antecedentes (do grupo) forem nulos, senão deve ser nulo
</t>
  </si>
  <si>
    <t xml:space="preserve">Não pode ser 1 quando qualquer dos campos antecedentes (do grupo) for 1
</t>
  </si>
  <si>
    <t xml:space="preserve">Não pode ser 1 quando qualquer dos campos antecendentes (do grupo) for 1
</t>
  </si>
  <si>
    <t xml:space="preserve">Não pode ser 1 quando qualquer dos campos de antecendentes (do grupo) for 1
</t>
  </si>
  <si>
    <t xml:space="preserve">As mensagens de erro para cada regra são a descrição da própria regra para todos os campos de qualquer registro
</t>
  </si>
  <si>
    <t>regras gerais</t>
  </si>
  <si>
    <t xml:space="preserve">As mensagens de erro para cada regra são a descrição da própria regra para todos os campos de qualquer registro
</t>
  </si>
  <si>
    <t>em decorrência da mudança, a coluna "mensagem de erro" foi excluída todos os registros</t>
  </si>
  <si>
    <t>O registro 10 deve ter 182 campos</t>
  </si>
  <si>
    <t xml:space="preserve">Cada linha deve iniciar com 00, 10, 20, 30, 40, 50, 60, ou 99
</t>
  </si>
  <si>
    <t>esta regra estava pulverizada em cada registro</t>
  </si>
  <si>
    <t xml:space="preserve">Pode haver alterações no texto da regra com a finalidade de melhor descrevê-la, mas que não altera a regra em si. Para indicar isso, criamos uma nova indicação de cor "Ajuste textual". Isso será usado também quando houver inclusão ou exclusão de campo, para indicar a mudança de referência na regra.
</t>
  </si>
  <si>
    <t>nova legenda de cores que indicam Mudança, Inclusão e Exclusão, e agora Ajuste textual</t>
  </si>
  <si>
    <t xml:space="preserve">Assitente social
</t>
  </si>
  <si>
    <t>Orientador(a) comunitário(a)</t>
  </si>
  <si>
    <t>campo desmembrado, assistente social é um campo exclusivo</t>
  </si>
  <si>
    <t>140 a 159</t>
  </si>
  <si>
    <t>165 a 170</t>
  </si>
  <si>
    <t>174 a 179</t>
  </si>
  <si>
    <t xml:space="preserve">O registro 10 deve ter 187 campos
</t>
  </si>
  <si>
    <t>em decorrência da inclusão de campos no registro 10</t>
  </si>
  <si>
    <t>Código</t>
  </si>
  <si>
    <t>Etapa de ensino</t>
  </si>
  <si>
    <t>Série/ ano (séries anuais)</t>
  </si>
  <si>
    <t>Período semestrais</t>
  </si>
  <si>
    <t xml:space="preserve">Ciclo(s) </t>
  </si>
  <si>
    <t>Grupos não-seriados com base na idade ou competência (art. 23 da LDB)</t>
  </si>
  <si>
    <t>Módulos</t>
  </si>
  <si>
    <t>Turma de Formação por alternância (alternância regular de períodos de estudos)</t>
  </si>
  <si>
    <t>Educação Infantil</t>
  </si>
  <si>
    <t>Educação infantil - creche (0 a 3 anos)</t>
  </si>
  <si>
    <t>Educação infantil - pré-escola (4 e 5 anos)</t>
  </si>
  <si>
    <t>Educação infantil - unificada (0 a 5 anos)</t>
  </si>
  <si>
    <t xml:space="preserve">Ensino Fundamental </t>
  </si>
  <si>
    <t>Multi e correção de fluxo</t>
  </si>
  <si>
    <t>Ensino Fundamental de 9 anos - multi</t>
  </si>
  <si>
    <t>Ensino Fundamental de 9 anos - correção de fluxo</t>
  </si>
  <si>
    <t>Educação infantil e ensino fundamental de 9 anos - multietapa</t>
  </si>
  <si>
    <t>Ensino Médio</t>
  </si>
  <si>
    <t>Ensino Médio - Normal/ Magistério</t>
  </si>
  <si>
    <t>EJA - Ensino fundamental - anos iniciais (1º segmento)</t>
  </si>
  <si>
    <t>EJA - Ensino fundamental - anos finais (2º segmento)</t>
  </si>
  <si>
    <t>EJA - Ensino fundamental  - anos iniciais e anos finais (EJA Multietapas)</t>
  </si>
  <si>
    <t>EJA - Ensino médio (3º segmento)</t>
  </si>
  <si>
    <t>Curso FIC integrado na modalidade EJA - nível fundamental</t>
  </si>
  <si>
    <t>Curso FIC integrado na modalidade EJA - nível médio</t>
  </si>
  <si>
    <t>Curso técnico misto</t>
  </si>
  <si>
    <t xml:space="preserve">Qualificação profissional (Curso FIC) - concomitante </t>
  </si>
  <si>
    <t xml:space="preserve">Qualificação profissional (Curso FIC) - não vinculada </t>
  </si>
  <si>
    <t>Anexo 6 - Etapas x Forma de organização</t>
  </si>
  <si>
    <t>Educação de Jovens e Adultos (ensino fundamental, ensino médio e integrada)</t>
  </si>
  <si>
    <t>Curso Técnico e Qualificação Profissional (Curso FIC)</t>
  </si>
  <si>
    <t>X = permitido. Em branco = não permitido</t>
  </si>
  <si>
    <t xml:space="preserve">Quando preenchido, deve estar em conformidade com o Anexo 6
</t>
  </si>
  <si>
    <t xml:space="preserve">Deve ser 0 quando [Etapa] for 1, 2, 3, 14, 15, 16, 17, 18, ou 56
</t>
  </si>
  <si>
    <t>o Anexo 6 é o padrão para preenchimento deste campo</t>
  </si>
  <si>
    <t>Alfabetização</t>
  </si>
  <si>
    <t>Educação integral em tempo integral</t>
  </si>
  <si>
    <t>Nível de pós-graduação 5</t>
  </si>
  <si>
    <t>Tipo para Nível, não afeta as regras</t>
  </si>
  <si>
    <t>inclusão de item no grupo [Outros cursos específicos (Formação continuada com mínimo de 80 horas)], mudança estrutural no Layout</t>
  </si>
  <si>
    <t>não afeta as regras atuais do campo</t>
  </si>
  <si>
    <t xml:space="preserve">O registro 30 deve ter 110 campos
</t>
  </si>
  <si>
    <t>em decorrência da inclusão de campos no registro 30</t>
  </si>
  <si>
    <t>89 a 109</t>
  </si>
  <si>
    <t>Código do eixo do curso de qualificação profissional [novo em 2026]</t>
  </si>
  <si>
    <t>Carga horária total do curso (em horas) [novo em 2026]</t>
  </si>
  <si>
    <t>Carga horária integralizada pelo(a) aluno(a) no curso técnico ou de qualificação profissional (em horas) [novo em 2026]</t>
  </si>
  <si>
    <t>Assistente social [novo em 2026]</t>
  </si>
  <si>
    <t>Laboratório de robótica [novo em 2026]</t>
  </si>
  <si>
    <t>Equipamentos audiovisuais para produção estudantil [novo em 2026]</t>
  </si>
  <si>
    <t>Kits de robótica [novo em 2026]</t>
  </si>
  <si>
    <t>Materiais para a educação emocional e mediação de conflitos [novo em 2026]</t>
  </si>
  <si>
    <t>Alfabetização [novo em 2026]</t>
  </si>
  <si>
    <t>Educação integral em tempo integral [novo em 2026]</t>
  </si>
  <si>
    <t xml:space="preserve">Deve ser um número maior que 0 de até 4 dígitos quando [Itinerário de formação técnica e profissional (IFTP)] for 1, senão deve ser nulo
</t>
  </si>
  <si>
    <t xml:space="preserve">Deve estar entre 160 e 800 horas quando [Tipo do curso do itinerário de formação técnica e profissional] for 2
</t>
  </si>
  <si>
    <t xml:space="preserve">Quando [Tipo do curso do itinerário de formação técnica e profissional] for 1 não pode ser menor que a carga horária mínima da Tabela de Curso Profissional, ou superior a 2000 horas
</t>
  </si>
  <si>
    <t>Deve ser um número maior que 0 de até 4 dígitos quando [Etapa] for 30, 40, 64, 67, 68, 73, 74 ou 75, senão deve ser nulo</t>
  </si>
  <si>
    <t>Se for Curso técnico, deve estar de acordo com carga horária na Tabela de Curso da Educação Profissional</t>
  </si>
  <si>
    <t>a referência foi mudada de Etapa para Itinerário de formação técnica e profissional (IFTP)</t>
  </si>
  <si>
    <t>o texto anterior trazia muitas dúvidas em relação à referência da carga horária</t>
  </si>
  <si>
    <t>a refferência não estava clara</t>
  </si>
  <si>
    <t xml:space="preserve">Quando preenchido, deve ser um código exclusivo de 12 caracteres numéricos (não deve haver mais de uma pessoa por escola com mesmo código)
</t>
  </si>
  <si>
    <t xml:space="preserve">Quando não preenchido, mas houver CPF na base do Inep, este dado não será atualizado, nem o [Nome completo], a [Data de nascimento], a [Filiação], a [Filiação1] e a [Filiação 2]
</t>
  </si>
  <si>
    <t xml:space="preserve">Quando preenchido, não deve ter status (na base da RF) de:
1-Cancelada por encerramento de espólio)
3-Cancelada por óbito sem espólio
5-Cancelado por multiplicidade
8-Nulo
9-Cancelado de ofício
</t>
  </si>
  <si>
    <t xml:space="preserve">Quando [Número do CPF] for nulo deve:
1) ter até 100 caracteres alfabéticos;
2) ter mais de uma palavra;
3) ter mais de um caractere em cada uma das duas primeiras palavras;
4) não ter mais de quatro caracteres iguais em sequência;
</t>
  </si>
  <si>
    <t xml:space="preserve">Quando [Número do CPF] for nulo, [Filiação] for 1, e [Filiação 2] for nulo deve:
1) ter até 100 caracteres alfabéticos;
2) ter mais de uma palavra;
3) ter mais de um caractere em cada uma das duas primeiras palavras;
4) não ter mais de quatro caracteres iguais em sequência;
</t>
  </si>
  <si>
    <t xml:space="preserve">Quando [Número do CPF] for nulo, [Filiação] for 1, e [Filiação 1] for nulo deve:
1) ter até 100 caracteres alfabéticos;
2) ter mais de uma palavra;
3) ter mais de um caractere em cada uma das duas primeiras palavras;
4) não ter mais de quatro caracteres iguais em sequência;
5) ser diferente de [Filiação 1]
</t>
  </si>
  <si>
    <t>Tipo de transtorno que impacta o desenvolvimento da aprendizagem</t>
  </si>
  <si>
    <t xml:space="preserve">Deve 0 ou 1 quando [Pessoa física com transtorno que impacta o desenvolvimento da aprendizagem] for 1, senão deve ser nulo
</t>
  </si>
  <si>
    <t>Pessoa física com transtorno que impacta o desenvolvimento da aprendizagem</t>
  </si>
  <si>
    <t xml:space="preserve">Pelo menos um dos campos de 36 a 49 deve ser 1 quando [Pessoa física com deficiência, transtorno do espectro autista e altas habilidades ou superdotação] ou [Pessoa física com transtorno que impacta o desenvolvimento da aprendizagem] forem 1 e houver vínculo no registro 60, na escola atual
</t>
  </si>
  <si>
    <t xml:space="preserve">Deve ser 0 ou 1 quando [Pessoa física com deficiência, transtorno do espectro autista e altas habilidades ou superdotação] ou [Pessoa física com transtorno que impacta o desenvolvimento da aprendizagem] forem 1 e houver vínculo no registro 60, na escola atual, senão deve ser nulo
</t>
  </si>
  <si>
    <t xml:space="preserve">Deve ser número de 1 a 9999 quando [Local de funcionamento da escola] for 1, senão deve ser nulo
</t>
  </si>
  <si>
    <t xml:space="preserve">Deve ser número de 1 a 9999 quando [Local de funcionamento da escola] for 0, senão deve ser nulo
</t>
  </si>
  <si>
    <t>a regra estava invertida, o correto é que, quando não estiver em Prédio Escolar, este campo deve ser obrigatório</t>
  </si>
  <si>
    <t>Número do campo na estrutura do registro</t>
  </si>
  <si>
    <t>Nome do campo de acordo com o gabarito de escola e o Educacenso</t>
  </si>
  <si>
    <t>Indica se o campo é obrigatório [s], opcional [n], ou condicional [c] (quando se preenchimento depende de outra informação)</t>
  </si>
  <si>
    <t>Número de caracteres permitidos, ou número de itens agregados por ponto-e-vírgula quando for campo multi (aqui está representado por um número entre colchetes</t>
  </si>
  <si>
    <t>Indica se o tamanho (tm) é fixo [f] ou máximo [m]</t>
  </si>
  <si>
    <t>Há alguns tipos de campo: numérico [num] só aceita números, alfanumérico [alfa] aceita letras e números, seleção [selec] aceita somente os itens da lista, e multi-seleção [multi] aceita mais de um item da lista separados por ponto-e-vírgula, além de outros específicos como [data] e [email]</t>
  </si>
  <si>
    <t>Conjunto de valores ou caracteres permitidos para o campo</t>
  </si>
  <si>
    <t>Número da regra dentro do campo</t>
  </si>
  <si>
    <t>Descrição das regras de preenchimento do campo</t>
  </si>
  <si>
    <t>Mensagem esperada após a validação e/ou processamento do arquivo txt</t>
  </si>
  <si>
    <t>Há dois processos para o arquivo: a validação, que verifica se a estrutura do arquivo está correta; e o processamento, que faz cruzamentos de dados no DB do Censo Escolar</t>
  </si>
  <si>
    <t>Ao final da validação e processamento, a escola obtém um status. Recusada indica erro em um dos processos.</t>
  </si>
  <si>
    <t xml:space="preserve">Materiais para a educação emocional e mediação de conflitos
</t>
  </si>
  <si>
    <t xml:space="preserve">Kits de robótica
</t>
  </si>
  <si>
    <t xml:space="preserve">Equipamentos audiovisuais para produção estudantil
</t>
  </si>
  <si>
    <t xml:space="preserve">Laboratório de robótica
</t>
  </si>
  <si>
    <t xml:space="preserve">Nível de pós-graduação 5
</t>
  </si>
  <si>
    <t xml:space="preserve">Recebe atendimento educacional em regime hospitalar ou domiciliar
</t>
  </si>
  <si>
    <t>este campo é a junção de três campos no Layout de 2025</t>
  </si>
  <si>
    <t xml:space="preserve">4-Atividade complementar
5-Atendimento educacional especializado (AEE)
6-Curricular (etapa de ensino)
9-Curricular (etapa de ensino) com Atividade Complementar
</t>
  </si>
  <si>
    <t xml:space="preserve">1-Computadores de mesa, portáteis e tablets da escola(laboratório de informática, biblioteca, salas de aula, etc)
2-Dispositivos pessoais (computadores portáteis, celulares, tablets, etc.)
3-Computadores de mesa, portáteis e tablets da escola (no laboratório de informática, biblioteca, sala de aula, etc.) e Dispositivos pessoais (computadores portáteis, celulares, tablets, etc.)
</t>
  </si>
  <si>
    <t>este campo é a junção de dois campos no Layout de 2025</t>
  </si>
  <si>
    <t xml:space="preserve">
em 2025 era:
115-Computadores de mesa, portáteis e tablets da escola (no laboratório de informática, biblioteca, sala de aula etc.)
116-Dispositivos pessoais (computadores portáteis, celulares, tablets etc.)</t>
  </si>
  <si>
    <t xml:space="preserve">
em 2025 era:
14-Curricular (etapa de ensino)
15-Atividade complementar
16-Atendimento educacional especializado - AEE</t>
  </si>
  <si>
    <t xml:space="preserve">
em 2025 era:
51-Federal
52-Estadual
53-Municipal</t>
  </si>
  <si>
    <t>v4</t>
  </si>
  <si>
    <t xml:space="preserve">Não pode ser 3 ou 4 quando [Município] for 5300108
</t>
  </si>
  <si>
    <t>estava invertido, Brasília não pode ser municipal</t>
  </si>
  <si>
    <t>182 a 187</t>
  </si>
  <si>
    <t>Código da Tabela de Cursos da Educação Profissional</t>
  </si>
  <si>
    <t xml:space="preserve">Deve ser um código da Tabela de Cursos da Educação Profissional quando [Etapa] for 67, 68, 73 ou 75, senão deve ser nulo
</t>
  </si>
  <si>
    <t xml:space="preserve">Não pode ser 3 ou 4 quando [Dependência administrativa] for 1 ou 2
</t>
  </si>
  <si>
    <t>a lógica estava incorreta para a regra</t>
  </si>
  <si>
    <t>regra 4</t>
  </si>
  <si>
    <t xml:space="preserve">Deve ser1, 2 ou 3 quando [Prédio escolar] for 1, senão deve ser nulo
</t>
  </si>
  <si>
    <t xml:space="preserve">Deve ser 0 ou 1 quando [Prédio escolar] for 1, senão deve ser nulo
</t>
  </si>
  <si>
    <t xml:space="preserve">Se não preenchido, os campos [Telefone] e [Outro telefone de contato] devem ser nulos
</t>
  </si>
  <si>
    <t>estava permitido informar terlefone sem DDD</t>
  </si>
  <si>
    <t>Etapas agregadas</t>
  </si>
  <si>
    <t>Etapas de ensino habilitadas</t>
  </si>
  <si>
    <t>Presencial</t>
  </si>
  <si>
    <t>Atividade complementar</t>
  </si>
  <si>
    <t xml:space="preserve"> -</t>
  </si>
  <si>
    <t>Atendimento educacional especializado (AEE)</t>
  </si>
  <si>
    <t>Curricular (etapa de ensino)</t>
  </si>
  <si>
    <t>Ensino Fundamental de 9 anos</t>
  </si>
  <si>
    <t>14, 15, 16, 17, 18, 19, 20, 21, 41</t>
  </si>
  <si>
    <t>22, 23, 56</t>
  </si>
  <si>
    <t>25, 26, 27, 28, 29</t>
  </si>
  <si>
    <t>35, 36, 37, 38</t>
  </si>
  <si>
    <t>69, 70, 72, 71, 74, 73, 67</t>
  </si>
  <si>
    <t xml:space="preserve">Presencial </t>
  </si>
  <si>
    <t>Curricular (etapa de ensino) com Atividade complementar</t>
  </si>
  <si>
    <t>22, 23</t>
  </si>
  <si>
    <t xml:space="preserve">35, 36, 37, 38 </t>
  </si>
  <si>
    <t>Semipresencial</t>
  </si>
  <si>
    <t>Educação de Jovens e Adultos (EJA)</t>
  </si>
  <si>
    <t>69, 70, 71, 72</t>
  </si>
  <si>
    <t>EAD</t>
  </si>
  <si>
    <r>
      <rPr>
        <sz val="11"/>
        <color rgb="FF000000"/>
        <rFont val="Arial"/>
        <family val="2"/>
      </rPr>
      <t>Curso Técnico e</t>
    </r>
    <r>
      <rPr>
        <sz val="11"/>
        <rFont val="Arial"/>
        <family val="2"/>
      </rPr>
      <t xml:space="preserve"> Qualificação Profissional (Curso FIC)</t>
    </r>
  </si>
  <si>
    <r>
      <rPr>
        <sz val="11"/>
        <color rgb="FF000000"/>
        <rFont val="Arial"/>
        <family val="2"/>
      </rPr>
      <t xml:space="preserve">39, 40, 64, 68, </t>
    </r>
    <r>
      <rPr>
        <sz val="11"/>
        <rFont val="Arial"/>
        <family val="2"/>
      </rPr>
      <t>75</t>
    </r>
  </si>
  <si>
    <r>
      <rPr>
        <sz val="11"/>
        <color rgb="FF000000"/>
        <rFont val="Arial"/>
        <family val="2"/>
      </rPr>
      <t>Curso Técnico e</t>
    </r>
    <r>
      <rPr>
        <sz val="11"/>
        <rFont val="Arial"/>
        <family val="2"/>
      </rPr>
      <t xml:space="preserve"> Qualificação Profissional (Curso FIC)</t>
    </r>
    <r>
      <rPr>
        <strike/>
        <sz val="11"/>
        <color rgb="FF000000"/>
        <rFont val="Arial"/>
        <family val="2"/>
      </rPr>
      <t xml:space="preserve"> </t>
    </r>
  </si>
  <si>
    <t>NÃO SE APLICA SEM FGB</t>
  </si>
  <si>
    <t>Anexo 7 - Tipo de turma x Tipo de mediação didático-pedagógica x Etapa</t>
  </si>
  <si>
    <t>71, 74, 67</t>
  </si>
  <si>
    <t>agora há uma tabela de correspondência entre Mediação x Tipo de turma x Etapa</t>
  </si>
  <si>
    <t>A correspondência entre [Tipo de mediação didático-pedagógica], [Tipo de turma] e [Etapa] deve estar de acordo com o Anexo 7</t>
  </si>
  <si>
    <t xml:space="preserve">A correspondência entre [Tipo de mediação didático-pedagógica], [Tipo de turma] e [Etapa] deve estar de acordo com o Anexo 7
</t>
  </si>
  <si>
    <t>1, 2, 3</t>
  </si>
  <si>
    <t xml:space="preserve">regra 1 </t>
  </si>
  <si>
    <t>em alguns casos, esse campo é opcional, a regra antererior impedia isso, além de apontar para outra realidade para preenchimento obrigatório</t>
  </si>
  <si>
    <t xml:space="preserve">Só pode ser preenchido quando [Situação de funcionamento] for 1 e [Dependência administrativa] for 4, sendo obrigatório quando [Instituição sem fins lucrativos] for 1 e [Regulamentação/ autorização no conselho ou órgão municipal, estadual ou federal de educação] for 1, senão deve ser nulo, quando preenchido, deve ser um CNPJ válido
</t>
  </si>
  <si>
    <t xml:space="preserve">Deve ser número de 1 a 9999 quando [Prédio escolar] for 1, senão deve ser nulo
</t>
  </si>
  <si>
    <t>Deve ser número de 1 a 9999 quando [Local de funcionamento da escola] for 0, senão deve ser nulo</t>
  </si>
  <si>
    <t>a caráter opcional do campo não estava claro, além disso, a referência estava incorreta</t>
  </si>
  <si>
    <t xml:space="preserve">Deve ser um número de 1 a 9999 quando [Quantidade de salas de aula utilizadas pela escola dentro do prédio escolar] ou [Quantidade de salas de aula utilizadas pela escola fora do prédio escolar] for preenchido, senão deve ser nulo
</t>
  </si>
  <si>
    <t xml:space="preserve">Não pode ser maior que a soma de  [Quantidade de salas de aula utilizadas pela escola dentro do prédio escolar] e [Quantidade de salas de aula utilizadas pela escola fora do prédio escolar]
</t>
  </si>
  <si>
    <t>119 a 138</t>
  </si>
  <si>
    <t xml:space="preserve">A escola faz exame de seleção para ingresso de seus aluno(a)s (avaliação por prova e /ou analise curricular)
</t>
  </si>
  <si>
    <t>32-Argentina
68-Bolívia
76-Brasil
170-Colômbia
328-Guiana
254-Guiana Francesa
600-Paraguai
604-Peru
740-Suriname
858-Uruguai
862-Venezuela</t>
  </si>
  <si>
    <t xml:space="preserve">Deve ser um número de CPF válido de 11 caracteres numéricos e exclusivo na escola atual (será considerada outra pessoa quem tiver a Identificação única diferente, ou então, no caso de aluno que for enviado sem ID, quem tiver o nome completo, a data de nascimento ou a filiação 1 diferente)
</t>
  </si>
  <si>
    <t xml:space="preserve">Só pode ser 2 quando [Tipo de turma {20}] for 6 ou 9
</t>
  </si>
  <si>
    <t xml:space="preserve">Só pode ser 3 quando [Tipo de turma {20}] for 4 ou 9
</t>
  </si>
  <si>
    <t>não indicava que deve ser nulo quando o maior nível de escolaridade for diferente de 6</t>
  </si>
  <si>
    <t>70A88</t>
  </si>
  <si>
    <t xml:space="preserve">Deve ser 0 ou 1 quando [Tipo de turma {20}] for 5, senão deve ser nulo
</t>
  </si>
  <si>
    <t xml:space="preserve">Pelo menos um dos campos de 10 a 20 deve ser 1 quando [Tipo de turma {20}] for 5
</t>
  </si>
  <si>
    <t xml:space="preserve">Deve ser 1, 2 ou 3 quando [Tipo de turma {20}] for 6 ou 9, [Tipo de mediação didático-pedagógica {20}] for 1, e [Local de funcionamento diferenciado da turma {20}] for 0, senão deve ser nulo
</t>
  </si>
  <si>
    <t xml:space="preserve">Deve ser 0 ou 1 quando [Tipo de mediação didático-pedagógica {20}] for 1 ou 2, [Tipo de turma {20}] for 6 ou 9, e [País de residência {30}] for 76, senão deve ser nulo
</t>
  </si>
  <si>
    <t>nos casos não estabelecidos na regra o campo deve ser nulo</t>
  </si>
  <si>
    <t xml:space="preserve">Pelo menos um dos campos de 39 a 65 deve ser 1 quando [Etapa] não for 1, 2, 3, ou nulo, senão todos devem ser nulos
</t>
  </si>
  <si>
    <t xml:space="preserve">Esse campo é opcional, e só pode ser preenchido quando [Itinerário de formação técnica e profissional (IFTP) {20}] for 1, ou quando [Etapa {20}] for 39, 40, 67, 68, 73 ou 75
</t>
  </si>
  <si>
    <t xml:space="preserve">Esse campo é opcional, e quando preenchido deve ser um número maior que 0 de até 4 dígitos somente se [Itinerário de formação técnica e profissional (IFTP)] for 1
</t>
  </si>
  <si>
    <t xml:space="preserve">Quando preenchido, deve ser número de 1 a 9999, sendo obrigatório somente quando [Prédio escolar] for 0
</t>
  </si>
  <si>
    <t xml:space="preserve">Quando [Maior nível de escolaridade concluída] for 6, deve ser informada uma ou mais pós-graduações concluídas ou que não tem pós-graduação concluída, senão deve ser nulo
</t>
  </si>
  <si>
    <t xml:space="preserve">Deve ser 1, 2, 3, 4, 5, 6 ou 7 quando [Cargo] for 1 e [Situação de funcionamento {00}] for 1, senão deve ser nulo
</t>
  </si>
  <si>
    <t xml:space="preserve">Não pode ser 1 quando [Dependência administrativa {00}] for 1, 2 ou 3
</t>
  </si>
  <si>
    <t xml:space="preserve">Não pode ser 4, 5 ou 6 quando [Dependência administrativa {00}] for 4
</t>
  </si>
  <si>
    <t xml:space="preserve">Deve ser 1, 2, 3 ou 4 quando [Cargo] for 1, [Situação de funcionamento {00}] for 1 e [Dependência administrativa) for 1, 2 ou 3, senão deve ser nulo
</t>
  </si>
  <si>
    <t>V5</t>
  </si>
  <si>
    <t xml:space="preserve">Deve ser 1 ou 2 quando [País de residência] for 76, senão deve ser nulo
</t>
  </si>
  <si>
    <t>1-Federal
2-Estadual
3-Municipal
4-Estadual e Municipal
6-Federal SETEC</t>
  </si>
  <si>
    <t>Opções</t>
  </si>
  <si>
    <t xml:space="preserve">Quando [Dependência Administrativa] for 2, o perfil Inep, Sec. Estadual e Sec. Municipal, devem informar 2
</t>
  </si>
  <si>
    <t xml:space="preserve">Quando [Dependência Administrativa] for 1, o perfil Inep deve informar 1 ou 6, o perfil Setec deve informar 6
</t>
  </si>
  <si>
    <t xml:space="preserve">Quando [Dependência Administrativa] for 3 ou 4, o perfil Inep, Sec. Estadual e Sec. Municipal, devem informar 2, 3 ou 4
</t>
  </si>
  <si>
    <t xml:space="preserve">Quando [Dependência Administrativa] for 4, e [Município] for 5300108, o perfil Inep, Sec. Estadual, devem informar 2
</t>
  </si>
  <si>
    <t>regra 5</t>
  </si>
  <si>
    <t xml:space="preserve">O campo deve ser nulo quando estiver fora das regras anteriores. (Este dado não será alterado no Banco de Dados quando for nulo)
</t>
  </si>
  <si>
    <t xml:space="preserve">inexistente
</t>
  </si>
  <si>
    <t>estava desatualizado em relação ao online</t>
  </si>
  <si>
    <t xml:space="preserve">1-Federal
2-Estadual
3-Municipal
4-Estadual e Municipal
5-Federal e Estadual
</t>
  </si>
  <si>
    <t>Altas habilidades/ superdotação*</t>
  </si>
  <si>
    <t>*Nenhum recurso é permitido quando há somente Altas habilidades/ superdotação</t>
  </si>
  <si>
    <t>a informação sobre o vínculo no registro 60 já está na regra 2</t>
  </si>
  <si>
    <t>ajuste de regra</t>
  </si>
  <si>
    <t xml:space="preserve">Para informar que o(a) aluno(a) não tem carga horária integralizada, use o algarismo 0 (zero)
</t>
  </si>
  <si>
    <t>Organização</t>
  </si>
  <si>
    <t>68 - Qualificação profissional (Curso FIC) - concomitante</t>
  </si>
  <si>
    <t>75 - Qualificação profissional (Curso FIC) - não vinculada</t>
  </si>
  <si>
    <t>39 - Curso Técnico Concomitante   </t>
  </si>
  <si>
    <t>40 - Curso Técnico Subsequente </t>
  </si>
  <si>
    <t>64 - Curso Técnico Misto</t>
  </si>
  <si>
    <t>73 - Curso FIC integrado na modalidade EJA - nível fundamental</t>
  </si>
  <si>
    <t>67 - Curso FIC integrado na modalidade EJA - nível médio </t>
  </si>
  <si>
    <t>74 - Curso técnico integrado na modalidade EJA (EJA integrada à educação profissional de nível médio</t>
  </si>
  <si>
    <t>25 - Ensino médio - 1ª série</t>
  </si>
  <si>
    <t>26 - Ensino médio - 2ª série</t>
  </si>
  <si>
    <t>27 - Ensino médio - 3ª série</t>
  </si>
  <si>
    <t>28 - Ensino médio - 4ª série</t>
  </si>
  <si>
    <t>29 - Ensino médio - Não seriado</t>
  </si>
  <si>
    <t>FGB + IFTP</t>
  </si>
  <si>
    <t>Ensino Médio - Sem etapa </t>
  </si>
  <si>
    <t>IFTP - quaficação profissional</t>
  </si>
  <si>
    <t>IFTP - curso técnico</t>
  </si>
  <si>
    <t>Anexo 8 - Carga horária total do curso (em horas) [novo em 2026] {para o registro 20}</t>
  </si>
  <si>
    <t>Mínimo</t>
  </si>
  <si>
    <t>*Conforme a Tabela de Cursos da Educação Profissional</t>
  </si>
  <si>
    <t>*</t>
  </si>
  <si>
    <t>O preenchimento do campo [Carga horária total do curso (em horas)] do registro 20 deve seguir os critérios abaixo, por exemplo: quando a [Etapa] for 68, a carga horária deve ser a partir de 160 horas. Deve ser um número de até 4 dígitos</t>
  </si>
  <si>
    <t xml:space="preserve">Quando [País de residência] for 76 e o CEP foi informado deve ser um CEP válido da base do DNE
e quando [País de residência] não for 76, deve ser nulo.
</t>
  </si>
  <si>
    <t xml:space="preserve">Esse campo é opcional, e só pode ser preenchido quando [Itinerário de formação técnica e profissional (IFTP) {20}] for 1, ou quando [Etapa {20}] for 39, 40, 67, 68, 73 ou 75. Quando preenchido, deve estar em conformidade com o Anexo 8
</t>
  </si>
  <si>
    <t>Carga horária total (em horas) [novo em 2026]</t>
  </si>
  <si>
    <t>Carga horária integralizada pelo(a) aluno(a) (em horas) [novo em 2026]</t>
  </si>
  <si>
    <t>ajuste no nome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</si>
</sst>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charset val="1"/>
    </font>
    <font>
      <sz val="11"/>
      <color theme="1"/>
      <name val="Calibri"/>
      <family val="2"/>
      <scheme val="minor"/>
    </font>
    <font>
      <sz val="11"/>
      <color theme="1"/>
      <name val="Calibri"/>
      <family val="2"/>
      <scheme val="minor"/>
    </font>
    <font>
      <sz val="10"/>
      <name val="Verdana"/>
      <family val="2"/>
      <charset val="1"/>
    </font>
    <font>
      <b/>
      <sz val="10"/>
      <name val="Verdana"/>
      <family val="2"/>
      <charset val="1"/>
    </font>
    <font>
      <b/>
      <sz val="8"/>
      <name val="Verdana"/>
      <family val="2"/>
      <charset val="1"/>
    </font>
    <font>
      <sz val="10"/>
      <name val="Arial"/>
      <family val="2"/>
    </font>
    <font>
      <sz val="12"/>
      <color rgb="FF002060"/>
      <name val="Arial"/>
      <family val="2"/>
    </font>
    <font>
      <b/>
      <sz val="12"/>
      <color rgb="FF002060"/>
      <name val="Arial"/>
      <family val="2"/>
    </font>
    <font>
      <b/>
      <sz val="8"/>
      <color rgb="FF002060"/>
      <name val="Arial"/>
      <family val="2"/>
    </font>
    <font>
      <sz val="12"/>
      <color theme="5"/>
      <name val="Arial"/>
      <family val="2"/>
    </font>
    <font>
      <b/>
      <sz val="8"/>
      <color theme="0"/>
      <name val="Arial"/>
      <family val="2"/>
    </font>
    <font>
      <b/>
      <sz val="12"/>
      <color theme="5"/>
      <name val="Arial"/>
      <family val="2"/>
    </font>
    <font>
      <i/>
      <sz val="12"/>
      <color rgb="FF002060"/>
      <name val="Arial"/>
      <family val="2"/>
    </font>
    <font>
      <i/>
      <sz val="10"/>
      <name val="Verdana"/>
      <family val="2"/>
      <charset val="1"/>
    </font>
    <font>
      <i/>
      <sz val="10"/>
      <name val="Arial"/>
      <family val="2"/>
    </font>
    <font>
      <sz val="14"/>
      <color theme="1"/>
      <name val="Calibri"/>
      <family val="2"/>
      <scheme val="minor"/>
    </font>
    <font>
      <sz val="14"/>
      <color rgb="FF002060"/>
      <name val="Calibri"/>
      <family val="2"/>
      <scheme val="minor"/>
    </font>
    <font>
      <sz val="8"/>
      <name val="Arial"/>
      <family val="2"/>
    </font>
    <font>
      <sz val="14"/>
      <color rgb="FF002060"/>
      <name val="Arial"/>
      <family val="2"/>
    </font>
    <font>
      <b/>
      <sz val="10"/>
      <color rgb="FF002060"/>
      <name val="Arial"/>
      <family val="2"/>
    </font>
    <font>
      <sz val="10"/>
      <color rgb="FF002060"/>
      <name val="Arial"/>
      <family val="2"/>
    </font>
    <font>
      <sz val="14"/>
      <color theme="0"/>
      <name val="Arial"/>
      <family val="2"/>
    </font>
    <font>
      <b/>
      <sz val="9"/>
      <color rgb="FF002060"/>
      <name val="Arial"/>
      <family val="2"/>
    </font>
    <font>
      <sz val="9"/>
      <color rgb="FF002060"/>
      <name val="Arial"/>
      <family val="2"/>
    </font>
    <font>
      <sz val="10"/>
      <name val="Arial"/>
      <family val="2"/>
    </font>
    <font>
      <b/>
      <sz val="10"/>
      <color theme="0"/>
      <name val="Arial"/>
      <family val="2"/>
    </font>
    <font>
      <sz val="12"/>
      <color theme="3"/>
      <name val="Arial"/>
      <family val="2"/>
    </font>
    <font>
      <sz val="10"/>
      <color theme="3"/>
      <name val="Arial"/>
      <family val="2"/>
    </font>
    <font>
      <b/>
      <sz val="14"/>
      <color rgb="FF000000"/>
      <name val="Calibri"/>
      <family val="2"/>
    </font>
    <font>
      <sz val="12"/>
      <color theme="3"/>
      <name val="Calibri"/>
      <family val="2"/>
      <scheme val="minor"/>
    </font>
    <font>
      <sz val="11"/>
      <color rgb="FF000000"/>
      <name val="Arial"/>
      <family val="2"/>
    </font>
    <font>
      <sz val="11"/>
      <name val="Arial"/>
      <family val="2"/>
    </font>
    <font>
      <strike/>
      <sz val="11"/>
      <color rgb="FF000000"/>
      <name val="Arial"/>
      <family val="2"/>
    </font>
    <font>
      <sz val="8"/>
      <name val="Arial"/>
      <charset val="1"/>
    </font>
    <font>
      <b/>
      <sz val="12"/>
      <color rgb="FF0070C0"/>
      <name val="Arial"/>
      <family val="2"/>
    </font>
    <font>
      <b/>
      <sz val="12"/>
      <color theme="0"/>
      <name val="Arial"/>
      <family val="2"/>
    </font>
    <font>
      <sz val="12"/>
      <color rgb="FF0070C0"/>
      <name val="Arial"/>
      <family val="2"/>
    </font>
    <font>
      <sz val="12"/>
      <name val="Arial"/>
      <family val="2"/>
    </font>
  </fonts>
  <fills count="22">
    <fill>
      <patternFill patternType="none"/>
    </fill>
    <fill>
      <patternFill patternType="gray125"/>
    </fill>
    <fill>
      <patternFill patternType="solid">
        <fgColor rgb="FF00B050"/>
        <bgColor rgb="FF008080"/>
      </patternFill>
    </fill>
    <fill>
      <patternFill patternType="solid">
        <fgColor rgb="FFFFFF00"/>
        <bgColor rgb="FFFFFF00"/>
      </patternFill>
    </fill>
    <fill>
      <patternFill patternType="solid">
        <fgColor rgb="FFD9D9D9"/>
        <bgColor rgb="FFBFBFBF"/>
      </patternFill>
    </fill>
    <fill>
      <patternFill patternType="solid">
        <fgColor rgb="FFFF0000"/>
        <bgColor rgb="FFFFFF00"/>
      </patternFill>
    </fill>
    <fill>
      <patternFill patternType="solid">
        <fgColor theme="3"/>
        <bgColor rgb="FFD9D9D9"/>
      </patternFill>
    </fill>
    <fill>
      <patternFill patternType="solid">
        <fgColor theme="3" tint="0.59999389629810485"/>
        <bgColor indexed="64"/>
      </patternFill>
    </fill>
    <fill>
      <patternFill patternType="solid">
        <fgColor rgb="FF002060"/>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E4DFEC"/>
        <bgColor rgb="FF000000"/>
      </patternFill>
    </fill>
    <fill>
      <patternFill patternType="solid">
        <fgColor theme="0" tint="-0.249977111117893"/>
        <bgColor rgb="FF000000"/>
      </patternFill>
    </fill>
    <fill>
      <patternFill patternType="solid">
        <fgColor theme="4" tint="0.39997558519241921"/>
        <bgColor indexed="64"/>
      </patternFill>
    </fill>
    <fill>
      <patternFill patternType="solid">
        <fgColor theme="9" tint="0.79998168889431442"/>
        <bgColor rgb="FF000000"/>
      </patternFill>
    </fill>
    <fill>
      <patternFill patternType="solid">
        <fgColor theme="5" tint="0.59999389629810485"/>
        <bgColor rgb="FF000000"/>
      </patternFill>
    </fill>
  </fills>
  <borders count="64">
    <border>
      <left/>
      <right/>
      <top/>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diagonal/>
    </border>
    <border>
      <left style="thin">
        <color theme="8" tint="0.39994506668294322"/>
      </left>
      <right style="thin">
        <color theme="8" tint="0.39994506668294322"/>
      </right>
      <top/>
      <bottom/>
      <diagonal/>
    </border>
    <border>
      <left style="thin">
        <color theme="8" tint="0.39994506668294322"/>
      </left>
      <right style="thin">
        <color theme="8" tint="0.39994506668294322"/>
      </right>
      <top/>
      <bottom style="thin">
        <color theme="8" tint="0.39994506668294322"/>
      </bottom>
      <diagonal/>
    </border>
    <border>
      <left style="thin">
        <color theme="8" tint="0.39991454817346722"/>
      </left>
      <right style="thin">
        <color theme="8" tint="0.39991454817346722"/>
      </right>
      <top style="thin">
        <color theme="8" tint="0.39991454817346722"/>
      </top>
      <bottom style="thin">
        <color theme="8" tint="0.39991454817346722"/>
      </bottom>
      <diagonal/>
    </border>
    <border>
      <left style="thin">
        <color theme="8" tint="0.39991454817346722"/>
      </left>
      <right style="thin">
        <color theme="8" tint="0.39991454817346722"/>
      </right>
      <top style="thin">
        <color theme="8" tint="0.39991454817346722"/>
      </top>
      <bottom/>
      <diagonal/>
    </border>
    <border>
      <left style="thin">
        <color theme="8" tint="0.39991454817346722"/>
      </left>
      <right style="thin">
        <color theme="8" tint="0.39991454817346722"/>
      </right>
      <top/>
      <bottom style="thin">
        <color theme="8" tint="0.39991454817346722"/>
      </bottom>
      <diagonal/>
    </border>
    <border>
      <left style="thin">
        <color theme="8" tint="0.39994506668294322"/>
      </left>
      <right/>
      <top style="thin">
        <color theme="8" tint="0.39994506668294322"/>
      </top>
      <bottom style="thin">
        <color theme="8" tint="0.39994506668294322"/>
      </bottom>
      <diagonal/>
    </border>
    <border>
      <left/>
      <right/>
      <top style="thin">
        <color theme="8" tint="0.39994506668294322"/>
      </top>
      <bottom style="thin">
        <color theme="8" tint="0.39994506668294322"/>
      </bottom>
      <diagonal/>
    </border>
    <border>
      <left style="thin">
        <color theme="8" tint="0.39988402966399123"/>
      </left>
      <right style="thin">
        <color theme="8" tint="0.39988402966399123"/>
      </right>
      <top style="thin">
        <color theme="8" tint="0.39988402966399123"/>
      </top>
      <bottom style="thin">
        <color theme="8" tint="0.39988402966399123"/>
      </bottom>
      <diagonal/>
    </border>
    <border>
      <left style="thin">
        <color theme="8" tint="0.39991454817346722"/>
      </left>
      <right/>
      <top style="thin">
        <color theme="8" tint="0.39991454817346722"/>
      </top>
      <bottom style="thin">
        <color theme="8" tint="0.39991454817346722"/>
      </bottom>
      <diagonal/>
    </border>
    <border>
      <left/>
      <right/>
      <top style="thin">
        <color theme="8" tint="0.39991454817346722"/>
      </top>
      <bottom style="thin">
        <color theme="8" tint="0.39991454817346722"/>
      </bottom>
      <diagonal/>
    </border>
    <border>
      <left/>
      <right style="thin">
        <color theme="8" tint="0.39991454817346722"/>
      </right>
      <top style="thin">
        <color theme="8" tint="0.39991454817346722"/>
      </top>
      <bottom style="thin">
        <color theme="8" tint="0.39991454817346722"/>
      </bottom>
      <diagonal/>
    </border>
    <border>
      <left style="thin">
        <color theme="8" tint="0.39991454817346722"/>
      </left>
      <right style="thin">
        <color theme="8" tint="0.39991454817346722"/>
      </right>
      <top/>
      <bottom/>
      <diagonal/>
    </border>
    <border>
      <left style="thin">
        <color theme="8" tint="0.39991454817346722"/>
      </left>
      <right/>
      <top style="thin">
        <color theme="8" tint="0.39991454817346722"/>
      </top>
      <bottom/>
      <diagonal/>
    </border>
    <border>
      <left/>
      <right/>
      <top style="thin">
        <color theme="8" tint="0.39991454817346722"/>
      </top>
      <bottom/>
      <diagonal/>
    </border>
    <border>
      <left/>
      <right style="thin">
        <color theme="8" tint="0.39991454817346722"/>
      </right>
      <top style="thin">
        <color theme="8" tint="0.39991454817346722"/>
      </top>
      <bottom/>
      <diagonal/>
    </border>
    <border>
      <left style="thin">
        <color theme="8" tint="0.39991454817346722"/>
      </left>
      <right/>
      <top/>
      <bottom style="thin">
        <color theme="8" tint="0.39991454817346722"/>
      </bottom>
      <diagonal/>
    </border>
    <border>
      <left/>
      <right/>
      <top/>
      <bottom style="thin">
        <color theme="8" tint="0.39991454817346722"/>
      </bottom>
      <diagonal/>
    </border>
    <border>
      <left/>
      <right style="thin">
        <color theme="8" tint="0.39991454817346722"/>
      </right>
      <top/>
      <bottom style="thin">
        <color theme="8" tint="0.39991454817346722"/>
      </bottom>
      <diagonal/>
    </border>
    <border>
      <left/>
      <right/>
      <top/>
      <bottom style="thin">
        <color theme="8" tint="0.39988402966399123"/>
      </bottom>
      <diagonal/>
    </border>
    <border>
      <left/>
      <right style="thin">
        <color theme="8" tint="0.39994506668294322"/>
      </right>
      <top style="thin">
        <color theme="8" tint="0.39994506668294322"/>
      </top>
      <bottom style="thin">
        <color theme="8" tint="0.39994506668294322"/>
      </bottom>
      <diagonal/>
    </border>
    <border>
      <left style="thin">
        <color theme="8" tint="0.39985351115451523"/>
      </left>
      <right style="thin">
        <color theme="8" tint="0.39985351115451523"/>
      </right>
      <top style="thin">
        <color theme="8" tint="0.39985351115451523"/>
      </top>
      <bottom style="thin">
        <color theme="8" tint="0.39985351115451523"/>
      </bottom>
      <diagonal/>
    </border>
    <border>
      <left style="thin">
        <color theme="8" tint="0.39985351115451523"/>
      </left>
      <right style="thin">
        <color theme="8" tint="0.39985351115451523"/>
      </right>
      <top style="thin">
        <color theme="8" tint="0.39985351115451523"/>
      </top>
      <bottom/>
      <diagonal/>
    </border>
    <border>
      <left style="thin">
        <color theme="8" tint="0.39985351115451523"/>
      </left>
      <right style="thin">
        <color theme="8" tint="0.39985351115451523"/>
      </right>
      <top/>
      <bottom/>
      <diagonal/>
    </border>
    <border>
      <left style="thin">
        <color theme="8" tint="0.39985351115451523"/>
      </left>
      <right style="thin">
        <color theme="8" tint="0.39985351115451523"/>
      </right>
      <top/>
      <bottom style="thin">
        <color theme="8" tint="0.39985351115451523"/>
      </bottom>
      <diagonal/>
    </border>
    <border>
      <left/>
      <right/>
      <top style="thin">
        <color theme="8" tint="0.39985351115451523"/>
      </top>
      <bottom/>
      <diagonal/>
    </border>
    <border>
      <left/>
      <right/>
      <top/>
      <bottom style="thin">
        <color theme="8" tint="0.39985351115451523"/>
      </bottom>
      <diagonal/>
    </border>
    <border>
      <left/>
      <right style="thin">
        <color theme="8" tint="0.39985351115451523"/>
      </right>
      <top style="thin">
        <color theme="8" tint="0.39985351115451523"/>
      </top>
      <bottom style="thin">
        <color theme="8" tint="0.39985351115451523"/>
      </bottom>
      <diagonal/>
    </border>
    <border>
      <left style="thin">
        <color theme="8" tint="0.39982299264503923"/>
      </left>
      <right style="thin">
        <color theme="8" tint="0.39982299264503923"/>
      </right>
      <top style="thin">
        <color theme="8" tint="0.39982299264503923"/>
      </top>
      <bottom/>
      <diagonal/>
    </border>
    <border>
      <left style="thin">
        <color theme="8" tint="0.39982299264503923"/>
      </left>
      <right style="thin">
        <color theme="8" tint="0.39982299264503923"/>
      </right>
      <top/>
      <bottom style="thin">
        <color theme="8" tint="0.39982299264503923"/>
      </bottom>
      <diagonal/>
    </border>
    <border>
      <left/>
      <right style="thin">
        <color theme="8" tint="0.39994506668294322"/>
      </right>
      <top style="thin">
        <color theme="8" tint="0.39988402966399123"/>
      </top>
      <bottom style="thin">
        <color theme="8" tint="0.39994506668294322"/>
      </bottom>
      <diagonal/>
    </border>
    <border>
      <left style="thin">
        <color theme="8" tint="0.39994506668294322"/>
      </left>
      <right/>
      <top/>
      <bottom style="thin">
        <color theme="8" tint="0.39994506668294322"/>
      </bottom>
      <diagonal/>
    </border>
    <border>
      <left style="thin">
        <color theme="8" tint="0.39988402966399123"/>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88402966399123"/>
      </right>
      <top style="thin">
        <color theme="8" tint="0.39994506668294322"/>
      </top>
      <bottom style="thin">
        <color theme="8" tint="0.39994506668294322"/>
      </bottom>
      <diagonal/>
    </border>
    <border>
      <left style="thin">
        <color theme="8" tint="0.39994506668294322"/>
      </left>
      <right style="thin">
        <color theme="8" tint="0.39991454817346722"/>
      </right>
      <top style="thin">
        <color theme="8" tint="0.39994506668294322"/>
      </top>
      <bottom style="thin">
        <color theme="8" tint="0.39994506668294322"/>
      </bottom>
      <diagonal/>
    </border>
    <border>
      <left style="thin">
        <color theme="8" tint="0.39988402966399123"/>
      </left>
      <right style="thin">
        <color theme="8" tint="0.39994506668294322"/>
      </right>
      <top style="thin">
        <color theme="8" tint="0.39994506668294322"/>
      </top>
      <bottom style="thin">
        <color theme="8" tint="0.39988402966399123"/>
      </bottom>
      <diagonal/>
    </border>
    <border>
      <left style="thin">
        <color theme="8" tint="0.39985351115451523"/>
      </left>
      <right/>
      <top style="thin">
        <color theme="8" tint="0.39985351115451523"/>
      </top>
      <bottom/>
      <diagonal/>
    </border>
    <border>
      <left/>
      <right style="thin">
        <color theme="8" tint="0.39985351115451523"/>
      </right>
      <top style="thin">
        <color theme="8" tint="0.39985351115451523"/>
      </top>
      <bottom/>
      <diagonal/>
    </border>
    <border>
      <left style="thin">
        <color theme="8" tint="0.39985351115451523"/>
      </left>
      <right/>
      <top/>
      <bottom style="thin">
        <color theme="8" tint="0.39985351115451523"/>
      </bottom>
      <diagonal/>
    </border>
    <border>
      <left/>
      <right style="thin">
        <color theme="8" tint="0.39985351115451523"/>
      </right>
      <top/>
      <bottom style="thin">
        <color theme="8" tint="0.39985351115451523"/>
      </bottom>
      <diagonal/>
    </border>
    <border>
      <left style="thin">
        <color theme="8" tint="0.39979247413556324"/>
      </left>
      <right style="thin">
        <color theme="8" tint="0.39979247413556324"/>
      </right>
      <top style="thin">
        <color theme="8" tint="0.39979247413556324"/>
      </top>
      <bottom style="thin">
        <color theme="8" tint="0.39979247413556324"/>
      </bottom>
      <diagonal/>
    </border>
    <border>
      <left style="thin">
        <color theme="8" tint="0.39985351115451523"/>
      </left>
      <right/>
      <top style="thin">
        <color theme="8" tint="0.39985351115451523"/>
      </top>
      <bottom style="thin">
        <color theme="8" tint="0.39985351115451523"/>
      </bottom>
      <diagonal/>
    </border>
    <border>
      <left/>
      <right/>
      <top style="thin">
        <color theme="8" tint="0.39985351115451523"/>
      </top>
      <bottom style="thin">
        <color theme="8" tint="0.39985351115451523"/>
      </bottom>
      <diagonal/>
    </border>
    <border>
      <left/>
      <right style="thin">
        <color theme="8" tint="0.39994506668294322"/>
      </right>
      <top/>
      <bottom/>
      <diagonal/>
    </border>
    <border>
      <left style="thin">
        <color theme="8" tint="0.39994506668294322"/>
      </left>
      <right/>
      <top/>
      <bottom/>
      <diagonal/>
    </border>
    <border>
      <left style="thin">
        <color theme="8" tint="0.39985351115451523"/>
      </left>
      <right/>
      <top/>
      <bottom/>
      <diagonal/>
    </border>
    <border>
      <left/>
      <right style="thin">
        <color theme="8" tint="0.39985351115451523"/>
      </right>
      <top/>
      <bottom/>
      <diagonal/>
    </border>
    <border>
      <left style="thin">
        <color indexed="64"/>
      </left>
      <right style="thin">
        <color indexed="64"/>
      </right>
      <top style="thin">
        <color indexed="64"/>
      </top>
      <bottom style="thin">
        <color indexed="64"/>
      </bottom>
      <diagonal/>
    </border>
    <border>
      <left style="thin">
        <color theme="8" tint="0.39994506668294322"/>
      </left>
      <right/>
      <top style="thin">
        <color theme="8" tint="0.39994506668294322"/>
      </top>
      <bottom/>
      <diagonal/>
    </border>
    <border>
      <left/>
      <right/>
      <top style="thin">
        <color theme="8" tint="0.39994506668294322"/>
      </top>
      <bottom/>
      <diagonal/>
    </border>
    <border>
      <left/>
      <right style="thin">
        <color theme="8" tint="0.39994506668294322"/>
      </right>
      <top style="thin">
        <color theme="8" tint="0.39994506668294322"/>
      </top>
      <bottom/>
      <diagonal/>
    </border>
    <border>
      <left/>
      <right/>
      <top/>
      <bottom style="thin">
        <color theme="8" tint="0.39994506668294322"/>
      </bottom>
      <diagonal/>
    </border>
    <border>
      <left/>
      <right style="thin">
        <color theme="8" tint="0.39994506668294322"/>
      </right>
      <top/>
      <bottom style="thin">
        <color theme="8" tint="0.39994506668294322"/>
      </bottom>
      <diagonal/>
    </border>
    <border>
      <left/>
      <right/>
      <top/>
      <bottom style="thin">
        <color indexed="64"/>
      </bottom>
      <diagonal/>
    </border>
    <border>
      <left style="thin">
        <color theme="8" tint="0.39991454817346722"/>
      </left>
      <right style="thin">
        <color theme="8" tint="0.39991454817346722"/>
      </right>
      <top style="thin">
        <color theme="8" tint="0.39988402966399123"/>
      </top>
      <bottom/>
      <diagonal/>
    </border>
    <border>
      <left style="thin">
        <color theme="8" tint="0.39991454817346722"/>
      </left>
      <right/>
      <top/>
      <bottom/>
      <diagonal/>
    </border>
    <border>
      <left style="thin">
        <color theme="8" tint="0.39988402966399123"/>
      </left>
      <right style="thin">
        <color theme="8" tint="0.39988402966399123"/>
      </right>
      <top style="thin">
        <color theme="8" tint="0.39988402966399123"/>
      </top>
      <bottom/>
      <diagonal/>
    </border>
    <border>
      <left style="thin">
        <color theme="8" tint="0.39988402966399123"/>
      </left>
      <right style="thin">
        <color theme="8" tint="0.39988402966399123"/>
      </right>
      <top/>
      <bottom/>
      <diagonal/>
    </border>
    <border>
      <left style="thin">
        <color theme="8" tint="0.39988402966399123"/>
      </left>
      <right style="thin">
        <color theme="8" tint="0.39988402966399123"/>
      </right>
      <top/>
      <bottom style="thin">
        <color theme="8" tint="0.39988402966399123"/>
      </bottom>
      <diagonal/>
    </border>
    <border>
      <left style="thin">
        <color theme="8" tint="0.39994506668294322"/>
      </left>
      <right/>
      <top/>
      <bottom style="thin">
        <color theme="8" tint="0.39991454817346722"/>
      </bottom>
      <diagonal/>
    </border>
    <border>
      <left style="thin">
        <color theme="8" tint="0.39982299264503923"/>
      </left>
      <right style="thin">
        <color theme="8" tint="0.39982299264503923"/>
      </right>
      <top style="thin">
        <color theme="8" tint="0.39982299264503923"/>
      </top>
      <bottom style="thin">
        <color theme="8" tint="0.39982299264503923"/>
      </bottom>
      <diagonal/>
    </border>
    <border>
      <left/>
      <right/>
      <top/>
      <bottom style="thin">
        <color theme="8" tint="0.39982299264503923"/>
      </bottom>
      <diagonal/>
    </border>
  </borders>
  <cellStyleXfs count="5">
    <xf numFmtId="0" fontId="0" fillId="0" borderId="0"/>
    <xf numFmtId="0" fontId="2" fillId="0" borderId="0"/>
    <xf numFmtId="0" fontId="25" fillId="0" borderId="0"/>
    <xf numFmtId="0" fontId="6" fillId="0" borderId="0"/>
    <xf numFmtId="0" fontId="1" fillId="0" borderId="0"/>
  </cellStyleXfs>
  <cellXfs count="249">
    <xf numFmtId="0" fontId="0" fillId="0" borderId="0" xfId="0"/>
    <xf numFmtId="0" fontId="6" fillId="0" borderId="0" xfId="0" applyFont="1"/>
    <xf numFmtId="0" fontId="7" fillId="0" borderId="5" xfId="0" applyFont="1" applyBorder="1" applyAlignment="1">
      <alignment horizontal="left" vertical="top" wrapText="1" indent="1"/>
    </xf>
    <xf numFmtId="0" fontId="10" fillId="0" borderId="0" xfId="0" applyFont="1" applyAlignment="1">
      <alignment horizontal="left" vertical="top" wrapText="1" indent="1"/>
    </xf>
    <xf numFmtId="0" fontId="7" fillId="0" borderId="0" xfId="0" applyFont="1" applyAlignment="1">
      <alignment horizontal="left" vertical="top" wrapText="1" indent="1"/>
    </xf>
    <xf numFmtId="0" fontId="11" fillId="6" borderId="10" xfId="0" applyFont="1" applyFill="1" applyBorder="1" applyAlignment="1">
      <alignment horizontal="left" vertical="top" wrapText="1" indent="1"/>
    </xf>
    <xf numFmtId="0" fontId="4" fillId="0" borderId="0" xfId="0" applyFont="1" applyAlignment="1">
      <alignment horizontal="left" vertical="top" wrapText="1" indent="1"/>
    </xf>
    <xf numFmtId="0" fontId="9" fillId="0" borderId="0" xfId="0" applyFont="1" applyAlignment="1">
      <alignment horizontal="left" vertical="top" indent="1"/>
    </xf>
    <xf numFmtId="0" fontId="7" fillId="0" borderId="1" xfId="0" applyFont="1" applyBorder="1" applyAlignment="1">
      <alignment horizontal="left" vertical="top" wrapText="1" indent="1"/>
    </xf>
    <xf numFmtId="0" fontId="7" fillId="0" borderId="0" xfId="0" applyFont="1" applyAlignment="1">
      <alignment horizontal="left" vertical="top" indent="1"/>
    </xf>
    <xf numFmtId="0" fontId="14" fillId="0" borderId="0" xfId="0" applyFont="1" applyAlignment="1">
      <alignment horizontal="left" vertical="top" wrapText="1" indent="1"/>
    </xf>
    <xf numFmtId="0" fontId="3" fillId="0" borderId="0" xfId="0" applyFont="1" applyAlignment="1">
      <alignment horizontal="left" vertical="top" wrapText="1" indent="1"/>
    </xf>
    <xf numFmtId="0" fontId="8" fillId="0" borderId="0" xfId="0" applyFont="1" applyAlignment="1">
      <alignment horizontal="left" vertical="top" wrapText="1" indent="1"/>
    </xf>
    <xf numFmtId="0" fontId="15" fillId="0" borderId="0" xfId="0" applyFont="1" applyAlignment="1">
      <alignment horizontal="left" vertical="top" indent="1"/>
    </xf>
    <xf numFmtId="0" fontId="0" fillId="0" borderId="0" xfId="0" applyAlignment="1">
      <alignment horizontal="left" vertical="top" indent="1"/>
    </xf>
    <xf numFmtId="0" fontId="13" fillId="0" borderId="0" xfId="0" applyFont="1" applyAlignment="1">
      <alignment horizontal="left" vertical="top" wrapText="1" indent="1"/>
    </xf>
    <xf numFmtId="0" fontId="7" fillId="0" borderId="6" xfId="0" applyFont="1" applyBorder="1" applyAlignment="1">
      <alignment horizontal="left" vertical="top" wrapText="1" indent="1"/>
    </xf>
    <xf numFmtId="0" fontId="7" fillId="0" borderId="7" xfId="0" applyFont="1" applyBorder="1" applyAlignment="1">
      <alignment horizontal="left" vertical="top" wrapText="1" indent="1"/>
    </xf>
    <xf numFmtId="0" fontId="5" fillId="0" borderId="0" xfId="0" applyFont="1" applyAlignment="1">
      <alignment horizontal="left" vertical="top" wrapText="1" indent="1"/>
    </xf>
    <xf numFmtId="0" fontId="2" fillId="0" borderId="0" xfId="1"/>
    <xf numFmtId="0" fontId="16" fillId="0" borderId="0" xfId="1" applyFont="1"/>
    <xf numFmtId="1" fontId="16" fillId="0" borderId="0" xfId="1" applyNumberFormat="1" applyFont="1"/>
    <xf numFmtId="0" fontId="17" fillId="0" borderId="21" xfId="1" applyFont="1" applyBorder="1" applyAlignment="1">
      <alignment vertical="center"/>
    </xf>
    <xf numFmtId="0" fontId="0" fillId="0" borderId="0" xfId="0" applyAlignment="1">
      <alignment vertical="center"/>
    </xf>
    <xf numFmtId="0" fontId="11" fillId="6" borderId="10" xfId="0" applyFont="1" applyFill="1" applyBorder="1" applyAlignment="1">
      <alignment horizontal="center" vertical="center" wrapText="1"/>
    </xf>
    <xf numFmtId="0" fontId="7" fillId="0" borderId="13" xfId="0" applyFont="1" applyBorder="1" applyAlignment="1">
      <alignment horizontal="left" vertical="top" wrapText="1" indent="1"/>
    </xf>
    <xf numFmtId="0" fontId="7" fillId="0" borderId="23" xfId="0" applyFont="1" applyBorder="1" applyAlignment="1">
      <alignment horizontal="left" vertical="top" wrapText="1" indent="1"/>
    </xf>
    <xf numFmtId="0" fontId="7" fillId="0" borderId="23" xfId="0" quotePrefix="1" applyFont="1" applyBorder="1" applyAlignment="1">
      <alignment horizontal="left" vertical="top" wrapText="1" indent="1"/>
    </xf>
    <xf numFmtId="0" fontId="7" fillId="0" borderId="24" xfId="0" applyFont="1" applyBorder="1" applyAlignment="1">
      <alignment horizontal="left" vertical="top" wrapText="1" indent="1"/>
    </xf>
    <xf numFmtId="0" fontId="7" fillId="0" borderId="26" xfId="0" applyFont="1" applyBorder="1" applyAlignment="1">
      <alignment horizontal="left" vertical="top" wrapText="1" indent="1"/>
    </xf>
    <xf numFmtId="0" fontId="7" fillId="0" borderId="29" xfId="0" applyFont="1" applyBorder="1" applyAlignment="1">
      <alignment horizontal="left" vertical="top" wrapText="1" indent="1"/>
    </xf>
    <xf numFmtId="0" fontId="13" fillId="0" borderId="23" xfId="0" applyFont="1" applyBorder="1" applyAlignment="1">
      <alignment horizontal="left" vertical="top" wrapText="1" indent="1"/>
    </xf>
    <xf numFmtId="0" fontId="21" fillId="0" borderId="0" xfId="0" applyFont="1"/>
    <xf numFmtId="0" fontId="22" fillId="8" borderId="0" xfId="0" applyFont="1" applyFill="1"/>
    <xf numFmtId="0" fontId="24" fillId="0" borderId="0" xfId="0" applyFont="1"/>
    <xf numFmtId="0" fontId="11" fillId="6" borderId="5" xfId="0" applyFont="1" applyFill="1" applyBorder="1" applyAlignment="1">
      <alignment horizontal="left" vertical="center" wrapText="1" indent="1"/>
    </xf>
    <xf numFmtId="0" fontId="9" fillId="2" borderId="0" xfId="0" applyFont="1" applyFill="1" applyAlignment="1">
      <alignment horizontal="left" vertical="center" wrapText="1" indent="1"/>
    </xf>
    <xf numFmtId="0" fontId="9" fillId="3" borderId="0" xfId="0" applyFont="1" applyFill="1" applyAlignment="1">
      <alignment horizontal="left" vertical="center" wrapText="1" indent="1"/>
    </xf>
    <xf numFmtId="0" fontId="9" fillId="5" borderId="0" xfId="0" applyFont="1" applyFill="1" applyAlignment="1">
      <alignment horizontal="left" vertical="center" wrapText="1" indent="1"/>
    </xf>
    <xf numFmtId="0" fontId="9" fillId="0" borderId="0" xfId="0" applyFont="1" applyAlignment="1">
      <alignment horizontal="left" vertical="center" indent="1"/>
    </xf>
    <xf numFmtId="0" fontId="6" fillId="0" borderId="0" xfId="0" applyFont="1" applyAlignment="1">
      <alignment horizontal="left" vertical="center" wrapText="1"/>
    </xf>
    <xf numFmtId="0" fontId="6" fillId="0" borderId="0" xfId="0" applyFont="1" applyAlignment="1">
      <alignment horizontal="center" vertical="center" wrapText="1"/>
    </xf>
    <xf numFmtId="0" fontId="23" fillId="4" borderId="1" xfId="0" applyFont="1" applyFill="1" applyBorder="1" applyAlignment="1">
      <alignment horizontal="center" vertical="center" wrapText="1"/>
    </xf>
    <xf numFmtId="49" fontId="21" fillId="0" borderId="1" xfId="0" applyNumberFormat="1" applyFont="1" applyBorder="1" applyAlignment="1">
      <alignment horizontal="left"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7" fillId="0" borderId="1" xfId="0" applyFont="1" applyBorder="1" applyAlignment="1">
      <alignment horizontal="right" vertical="top" wrapText="1" indent="1"/>
    </xf>
    <xf numFmtId="0" fontId="7" fillId="0" borderId="0" xfId="0" applyFont="1" applyAlignment="1">
      <alignment vertical="top" wrapText="1"/>
    </xf>
    <xf numFmtId="0" fontId="0" fillId="0" borderId="0" xfId="0" applyAlignment="1">
      <alignment wrapText="1"/>
    </xf>
    <xf numFmtId="0" fontId="26" fillId="8" borderId="49" xfId="2" applyFont="1" applyFill="1" applyBorder="1" applyAlignment="1">
      <alignment horizontal="center" vertical="top" wrapText="1"/>
    </xf>
    <xf numFmtId="0" fontId="26" fillId="8" borderId="49" xfId="2" applyFont="1" applyFill="1" applyBorder="1" applyAlignment="1">
      <alignment vertical="top" wrapText="1"/>
    </xf>
    <xf numFmtId="0" fontId="25" fillId="0" borderId="0" xfId="2" applyAlignment="1">
      <alignment vertical="top" wrapText="1"/>
    </xf>
    <xf numFmtId="0" fontId="25" fillId="11" borderId="49" xfId="2" applyFill="1" applyBorder="1" applyAlignment="1">
      <alignment horizontal="center" vertical="top" wrapText="1"/>
    </xf>
    <xf numFmtId="0" fontId="25" fillId="11" borderId="49" xfId="2" applyFill="1" applyBorder="1" applyAlignment="1">
      <alignment horizontal="left" vertical="top" wrapText="1"/>
    </xf>
    <xf numFmtId="0" fontId="25" fillId="11" borderId="49" xfId="2" applyFill="1" applyBorder="1" applyAlignment="1">
      <alignment vertical="top" wrapText="1"/>
    </xf>
    <xf numFmtId="0" fontId="25" fillId="0" borderId="0" xfId="2" applyAlignment="1">
      <alignment horizontal="center" vertical="top" wrapText="1"/>
    </xf>
    <xf numFmtId="0" fontId="25" fillId="11" borderId="49" xfId="2" quotePrefix="1" applyFill="1" applyBorder="1" applyAlignment="1">
      <alignment horizontal="center" vertical="top" wrapText="1"/>
    </xf>
    <xf numFmtId="0" fontId="25" fillId="10" borderId="49" xfId="2" applyFill="1" applyBorder="1" applyAlignment="1">
      <alignment horizontal="center" vertical="top" wrapText="1"/>
    </xf>
    <xf numFmtId="0" fontId="25" fillId="10" borderId="49" xfId="2" applyFill="1" applyBorder="1" applyAlignment="1">
      <alignment horizontal="left" vertical="top" wrapText="1"/>
    </xf>
    <xf numFmtId="0" fontId="25" fillId="10" borderId="49" xfId="2" applyFill="1" applyBorder="1" applyAlignment="1">
      <alignment vertical="top" wrapText="1"/>
    </xf>
    <xf numFmtId="0" fontId="27" fillId="0" borderId="5" xfId="0" applyFont="1" applyBorder="1" applyAlignment="1">
      <alignment horizontal="center" vertical="center" wrapText="1"/>
    </xf>
    <xf numFmtId="0" fontId="27" fillId="12" borderId="5" xfId="0" applyFont="1" applyFill="1" applyBorder="1" applyAlignment="1">
      <alignment horizontal="center" vertical="center" wrapText="1"/>
    </xf>
    <xf numFmtId="0" fontId="6" fillId="11" borderId="49" xfId="2" applyFont="1" applyFill="1" applyBorder="1" applyAlignment="1">
      <alignment horizontal="left" vertical="top" wrapText="1"/>
    </xf>
    <xf numFmtId="0" fontId="25" fillId="10" borderId="49" xfId="2" quotePrefix="1" applyFill="1" applyBorder="1" applyAlignment="1">
      <alignment horizontal="center" vertical="top" wrapText="1"/>
    </xf>
    <xf numFmtId="0" fontId="6" fillId="10" borderId="49" xfId="2" applyFont="1" applyFill="1" applyBorder="1" applyAlignment="1">
      <alignment horizontal="center" vertical="top" wrapText="1"/>
    </xf>
    <xf numFmtId="0" fontId="6" fillId="10" borderId="49" xfId="2" quotePrefix="1" applyFont="1" applyFill="1" applyBorder="1" applyAlignment="1">
      <alignment horizontal="center" vertical="top" wrapText="1"/>
    </xf>
    <xf numFmtId="0" fontId="6" fillId="10" borderId="49" xfId="2" applyFont="1" applyFill="1" applyBorder="1" applyAlignment="1">
      <alignment horizontal="left" vertical="top" wrapText="1"/>
    </xf>
    <xf numFmtId="0" fontId="6" fillId="13" borderId="49" xfId="2" applyFont="1" applyFill="1" applyBorder="1" applyAlignment="1">
      <alignment horizontal="center" vertical="top" wrapText="1"/>
    </xf>
    <xf numFmtId="0" fontId="25" fillId="13" borderId="49" xfId="2" applyFill="1" applyBorder="1" applyAlignment="1">
      <alignment horizontal="center" vertical="top" wrapText="1"/>
    </xf>
    <xf numFmtId="0" fontId="25" fillId="13" borderId="49" xfId="2" quotePrefix="1" applyFill="1" applyBorder="1" applyAlignment="1">
      <alignment horizontal="center" vertical="top" wrapText="1"/>
    </xf>
    <xf numFmtId="0" fontId="6" fillId="13" borderId="49" xfId="2" quotePrefix="1" applyFont="1" applyFill="1" applyBorder="1" applyAlignment="1">
      <alignment horizontal="center" vertical="top" wrapText="1"/>
    </xf>
    <xf numFmtId="0" fontId="25" fillId="13" borderId="49" xfId="2" applyFill="1" applyBorder="1" applyAlignment="1">
      <alignment vertical="top" wrapText="1"/>
    </xf>
    <xf numFmtId="0" fontId="6" fillId="13" borderId="49" xfId="2" applyFont="1" applyFill="1" applyBorder="1" applyAlignment="1">
      <alignment horizontal="left" vertical="top" wrapText="1"/>
    </xf>
    <xf numFmtId="0" fontId="6" fillId="10" borderId="49" xfId="2" applyFont="1" applyFill="1" applyBorder="1" applyAlignment="1">
      <alignment vertical="top" wrapText="1"/>
    </xf>
    <xf numFmtId="0" fontId="11" fillId="6" borderId="10" xfId="0" applyFont="1" applyFill="1" applyBorder="1" applyAlignment="1">
      <alignment horizontal="right" vertical="center" wrapText="1" indent="1"/>
    </xf>
    <xf numFmtId="0" fontId="27" fillId="12" borderId="5" xfId="0" applyFont="1" applyFill="1" applyBorder="1" applyAlignment="1">
      <alignment horizontal="right" vertical="center" wrapText="1"/>
    </xf>
    <xf numFmtId="0" fontId="9" fillId="14" borderId="0" xfId="0" applyFont="1" applyFill="1" applyAlignment="1">
      <alignment horizontal="left" vertical="center" indent="1"/>
    </xf>
    <xf numFmtId="0" fontId="6" fillId="11" borderId="49" xfId="2" applyFont="1" applyFill="1" applyBorder="1" applyAlignment="1">
      <alignment horizontal="center" vertical="top" wrapText="1"/>
    </xf>
    <xf numFmtId="0" fontId="6" fillId="11" borderId="49" xfId="2" quotePrefix="1" applyFont="1" applyFill="1" applyBorder="1" applyAlignment="1">
      <alignment horizontal="center" vertical="top" wrapText="1"/>
    </xf>
    <xf numFmtId="0" fontId="6" fillId="11" borderId="49" xfId="2" applyFont="1" applyFill="1" applyBorder="1" applyAlignment="1">
      <alignment vertical="top" wrapText="1"/>
    </xf>
    <xf numFmtId="0" fontId="27" fillId="0" borderId="5" xfId="0" applyFont="1" applyBorder="1" applyAlignment="1">
      <alignment horizontal="left" vertical="center" wrapText="1"/>
    </xf>
    <xf numFmtId="0" fontId="27" fillId="0" borderId="13" xfId="0" applyFont="1" applyBorder="1" applyAlignment="1">
      <alignment horizontal="left" vertical="center" wrapText="1"/>
    </xf>
    <xf numFmtId="0" fontId="27" fillId="16" borderId="5" xfId="0" applyFont="1" applyFill="1" applyBorder="1" applyAlignment="1">
      <alignment horizontal="center" vertical="center" wrapText="1"/>
    </xf>
    <xf numFmtId="0" fontId="7" fillId="0" borderId="27" xfId="0" applyFont="1" applyBorder="1" applyAlignment="1">
      <alignment horizontal="left" vertical="top" wrapText="1" indent="1"/>
    </xf>
    <xf numFmtId="0" fontId="7" fillId="0" borderId="1" xfId="0" quotePrefix="1" applyFont="1" applyBorder="1" applyAlignment="1">
      <alignment horizontal="left" vertical="top" wrapText="1" indent="1"/>
    </xf>
    <xf numFmtId="0" fontId="13" fillId="0" borderId="1" xfId="0" applyFont="1" applyBorder="1" applyAlignment="1">
      <alignment horizontal="left" vertical="top" wrapText="1" indent="1"/>
    </xf>
    <xf numFmtId="0" fontId="7" fillId="0" borderId="2" xfId="0" applyFont="1" applyBorder="1" applyAlignment="1">
      <alignment horizontal="left" vertical="top" wrapText="1" indent="1"/>
    </xf>
    <xf numFmtId="0" fontId="7" fillId="0" borderId="5" xfId="0" quotePrefix="1" applyFont="1" applyBorder="1" applyAlignment="1">
      <alignment horizontal="left" vertical="top" wrapText="1" indent="1"/>
    </xf>
    <xf numFmtId="0" fontId="13" fillId="0" borderId="5" xfId="0" applyFont="1" applyBorder="1" applyAlignment="1">
      <alignment horizontal="left" vertical="top" wrapText="1" indent="1"/>
    </xf>
    <xf numFmtId="0" fontId="7" fillId="0" borderId="10" xfId="0" applyFont="1" applyBorder="1" applyAlignment="1">
      <alignment horizontal="left" vertical="top" wrapText="1" indent="1"/>
    </xf>
    <xf numFmtId="0" fontId="7" fillId="0" borderId="42" xfId="0" applyFont="1" applyBorder="1" applyAlignment="1">
      <alignment horizontal="left" vertical="top" wrapText="1" indent="1"/>
    </xf>
    <xf numFmtId="0" fontId="7" fillId="0" borderId="43" xfId="0" applyFont="1" applyBorder="1" applyAlignment="1">
      <alignment horizontal="left" vertical="top" wrapText="1" indent="1"/>
    </xf>
    <xf numFmtId="0" fontId="7" fillId="14" borderId="5" xfId="0" applyFont="1" applyFill="1" applyBorder="1" applyAlignment="1">
      <alignment horizontal="left" vertical="top" wrapText="1" indent="1"/>
    </xf>
    <xf numFmtId="0" fontId="11" fillId="6" borderId="23" xfId="0" applyFont="1" applyFill="1" applyBorder="1" applyAlignment="1">
      <alignment horizontal="center" vertical="center" wrapText="1"/>
    </xf>
    <xf numFmtId="0" fontId="31" fillId="18" borderId="23" xfId="0" applyFont="1" applyFill="1" applyBorder="1" applyAlignment="1">
      <alignment vertical="center" wrapText="1"/>
    </xf>
    <xf numFmtId="0" fontId="32" fillId="17" borderId="23" xfId="0" applyFont="1" applyFill="1" applyBorder="1" applyAlignment="1">
      <alignment vertical="center" wrapText="1"/>
    </xf>
    <xf numFmtId="0" fontId="32" fillId="17" borderId="23" xfId="0" applyFont="1" applyFill="1" applyBorder="1" applyAlignment="1">
      <alignment horizontal="left" vertical="center" wrapText="1"/>
    </xf>
    <xf numFmtId="0" fontId="32" fillId="19" borderId="23" xfId="0" applyFont="1" applyFill="1" applyBorder="1" applyAlignment="1">
      <alignment vertical="center" wrapText="1"/>
    </xf>
    <xf numFmtId="0" fontId="32" fillId="19" borderId="23" xfId="0" applyFont="1" applyFill="1" applyBorder="1" applyAlignment="1">
      <alignment horizontal="left" vertical="center" wrapText="1"/>
    </xf>
    <xf numFmtId="0" fontId="32" fillId="20" borderId="23" xfId="0" applyFont="1" applyFill="1" applyBorder="1" applyAlignment="1">
      <alignment vertical="center" wrapText="1"/>
    </xf>
    <xf numFmtId="0" fontId="32" fillId="20" borderId="23" xfId="0" applyFont="1" applyFill="1" applyBorder="1" applyAlignment="1">
      <alignment horizontal="left" vertical="center" wrapText="1"/>
    </xf>
    <xf numFmtId="0" fontId="32" fillId="21" borderId="23" xfId="0" applyFont="1" applyFill="1" applyBorder="1" applyAlignment="1">
      <alignment vertical="center" wrapText="1"/>
    </xf>
    <xf numFmtId="0" fontId="32" fillId="21" borderId="23" xfId="0" applyFont="1" applyFill="1" applyBorder="1" applyAlignment="1">
      <alignment horizontal="left" vertical="center"/>
    </xf>
    <xf numFmtId="0" fontId="32" fillId="21" borderId="23" xfId="0" applyFont="1" applyFill="1" applyBorder="1" applyAlignment="1">
      <alignment horizontal="left" vertical="center" wrapText="1"/>
    </xf>
    <xf numFmtId="0" fontId="22" fillId="8" borderId="0" xfId="0" applyFont="1" applyFill="1" applyAlignment="1">
      <alignment horizontal="center"/>
    </xf>
    <xf numFmtId="0" fontId="31" fillId="18" borderId="23" xfId="0" applyFont="1" applyFill="1" applyBorder="1" applyAlignment="1">
      <alignment horizontal="center" vertical="center"/>
    </xf>
    <xf numFmtId="0" fontId="31" fillId="18" borderId="23" xfId="0" applyFont="1" applyFill="1" applyBorder="1" applyAlignment="1">
      <alignment horizontal="center" vertical="center" wrapText="1"/>
    </xf>
    <xf numFmtId="0" fontId="32" fillId="20" borderId="23" xfId="0" applyFont="1" applyFill="1" applyBorder="1" applyAlignment="1">
      <alignment horizontal="center" vertical="center"/>
    </xf>
    <xf numFmtId="0" fontId="6" fillId="0" borderId="0" xfId="0" applyFont="1" applyAlignment="1">
      <alignment horizontal="center"/>
    </xf>
    <xf numFmtId="0" fontId="22" fillId="8" borderId="0" xfId="0" applyFont="1" applyFill="1" applyAlignment="1">
      <alignment horizontal="left"/>
    </xf>
    <xf numFmtId="0" fontId="7" fillId="11" borderId="5" xfId="0" applyFont="1" applyFill="1" applyBorder="1" applyAlignment="1">
      <alignment horizontal="left" vertical="top" wrapText="1" indent="1"/>
    </xf>
    <xf numFmtId="0" fontId="21" fillId="0" borderId="0" xfId="3" applyFont="1"/>
    <xf numFmtId="0" fontId="20" fillId="0" borderId="0" xfId="3" applyFont="1"/>
    <xf numFmtId="0" fontId="22" fillId="8" borderId="0" xfId="3" applyFont="1" applyFill="1"/>
    <xf numFmtId="0" fontId="6" fillId="0" borderId="0" xfId="2" applyFont="1" applyAlignment="1">
      <alignment vertical="top" wrapText="1"/>
    </xf>
    <xf numFmtId="0" fontId="7" fillId="11" borderId="1" xfId="0" applyFont="1" applyFill="1" applyBorder="1" applyAlignment="1">
      <alignment horizontal="left" vertical="top" wrapText="1" indent="1"/>
    </xf>
    <xf numFmtId="0" fontId="7" fillId="10" borderId="1" xfId="0" applyFont="1" applyFill="1" applyBorder="1" applyAlignment="1">
      <alignment horizontal="left" vertical="top" wrapText="1" indent="1"/>
    </xf>
    <xf numFmtId="0" fontId="7" fillId="14" borderId="1" xfId="0" applyFont="1" applyFill="1" applyBorder="1" applyAlignment="1">
      <alignment horizontal="left" vertical="top" wrapText="1" indent="1"/>
    </xf>
    <xf numFmtId="0" fontId="17" fillId="0" borderId="21" xfId="4" applyFont="1" applyBorder="1" applyAlignment="1">
      <alignment vertical="center"/>
    </xf>
    <xf numFmtId="0" fontId="6" fillId="0" borderId="0" xfId="3" applyAlignment="1">
      <alignment horizontal="left" vertical="center"/>
    </xf>
    <xf numFmtId="0" fontId="6" fillId="0" borderId="0" xfId="3" applyAlignment="1">
      <alignment vertical="center"/>
    </xf>
    <xf numFmtId="0" fontId="17" fillId="12" borderId="4" xfId="4" applyFont="1" applyFill="1" applyBorder="1" applyAlignment="1">
      <alignment horizontal="center" vertical="center"/>
    </xf>
    <xf numFmtId="0" fontId="17" fillId="0" borderId="0" xfId="4" applyFont="1" applyAlignment="1">
      <alignment vertical="center"/>
    </xf>
    <xf numFmtId="0" fontId="17" fillId="0" borderId="22" xfId="4" applyFont="1" applyBorder="1" applyAlignment="1">
      <alignment horizontal="right" vertical="center"/>
    </xf>
    <xf numFmtId="0" fontId="17" fillId="9" borderId="1" xfId="4" applyFont="1" applyFill="1" applyBorder="1" applyAlignment="1">
      <alignment horizontal="center" vertical="center"/>
    </xf>
    <xf numFmtId="0" fontId="11" fillId="6" borderId="34" xfId="3" applyFont="1" applyFill="1" applyBorder="1" applyAlignment="1">
      <alignment horizontal="center" vertical="center" wrapText="1"/>
    </xf>
    <xf numFmtId="0" fontId="11" fillId="6" borderId="1" xfId="3" applyFont="1" applyFill="1" applyBorder="1" applyAlignment="1">
      <alignment horizontal="center" vertical="center" wrapText="1"/>
    </xf>
    <xf numFmtId="0" fontId="11" fillId="6" borderId="35" xfId="3" applyFont="1" applyFill="1" applyBorder="1" applyAlignment="1">
      <alignment horizontal="center" vertical="center" wrapText="1"/>
    </xf>
    <xf numFmtId="0" fontId="11" fillId="6" borderId="0" xfId="3" applyFont="1" applyFill="1" applyAlignment="1">
      <alignment horizontal="center" vertical="center" wrapText="1"/>
    </xf>
    <xf numFmtId="0" fontId="6" fillId="0" borderId="0" xfId="3" applyAlignment="1">
      <alignment horizontal="center" vertical="center" wrapText="1"/>
    </xf>
    <xf numFmtId="0" fontId="7" fillId="0" borderId="1" xfId="3" applyFont="1" applyBorder="1" applyAlignment="1">
      <alignment horizontal="center" vertical="center" wrapText="1"/>
    </xf>
    <xf numFmtId="0" fontId="7" fillId="9" borderId="1" xfId="3" applyFont="1" applyFill="1" applyBorder="1" applyAlignment="1">
      <alignment horizontal="center" vertical="center" wrapText="1"/>
    </xf>
    <xf numFmtId="0" fontId="7" fillId="0" borderId="36" xfId="3" applyFont="1" applyBorder="1" applyAlignment="1">
      <alignment horizontal="center" vertical="center" wrapText="1"/>
    </xf>
    <xf numFmtId="0" fontId="11" fillId="6" borderId="37" xfId="3" applyFont="1" applyFill="1" applyBorder="1" applyAlignment="1">
      <alignment horizontal="center" vertical="center" wrapText="1"/>
    </xf>
    <xf numFmtId="0" fontId="28" fillId="0" borderId="0" xfId="3" applyFont="1" applyAlignment="1">
      <alignment vertical="center"/>
    </xf>
    <xf numFmtId="0" fontId="11" fillId="6" borderId="10" xfId="3" applyFont="1" applyFill="1" applyBorder="1" applyAlignment="1">
      <alignment horizontal="center" vertical="center" wrapText="1"/>
    </xf>
    <xf numFmtId="0" fontId="7" fillId="0" borderId="5" xfId="3" applyFont="1" applyBorder="1" applyAlignment="1">
      <alignment horizontal="center" vertical="center" wrapText="1"/>
    </xf>
    <xf numFmtId="0" fontId="7" fillId="14" borderId="24" xfId="0" applyFont="1" applyFill="1" applyBorder="1" applyAlignment="1">
      <alignment horizontal="left" vertical="top" wrapText="1" indent="1"/>
    </xf>
    <xf numFmtId="0" fontId="7" fillId="10" borderId="23" xfId="0" applyFont="1" applyFill="1" applyBorder="1" applyAlignment="1">
      <alignment horizontal="left" vertical="top" wrapText="1" indent="1"/>
    </xf>
    <xf numFmtId="0" fontId="36" fillId="6" borderId="62" xfId="0" applyFont="1" applyFill="1" applyBorder="1" applyAlignment="1">
      <alignment horizontal="left" vertical="center" wrapText="1"/>
    </xf>
    <xf numFmtId="0" fontId="36" fillId="6" borderId="62" xfId="0" applyFont="1" applyFill="1" applyBorder="1" applyAlignment="1">
      <alignment horizontal="center" vertical="center" wrapText="1"/>
    </xf>
    <xf numFmtId="0" fontId="37" fillId="0" borderId="62" xfId="0" applyFont="1" applyBorder="1" applyAlignment="1">
      <alignment vertical="center" wrapText="1"/>
    </xf>
    <xf numFmtId="0" fontId="35" fillId="0" borderId="62" xfId="0" applyFont="1" applyBorder="1" applyAlignment="1">
      <alignment horizontal="center" vertical="center" wrapText="1"/>
    </xf>
    <xf numFmtId="3" fontId="35" fillId="0" borderId="62" xfId="0" applyNumberFormat="1" applyFont="1" applyBorder="1" applyAlignment="1">
      <alignment horizontal="center" vertical="center" wrapText="1"/>
    </xf>
    <xf numFmtId="0" fontId="38" fillId="0" borderId="0" xfId="0" applyFont="1"/>
    <xf numFmtId="0" fontId="38" fillId="0" borderId="0" xfId="0" applyFont="1" applyAlignment="1">
      <alignment horizontal="center"/>
    </xf>
    <xf numFmtId="0" fontId="7" fillId="11" borderId="6" xfId="0" applyFont="1" applyFill="1" applyBorder="1" applyAlignment="1">
      <alignment horizontal="left" vertical="top" wrapText="1" indent="1"/>
    </xf>
    <xf numFmtId="0" fontId="8" fillId="7" borderId="0" xfId="0" applyFont="1" applyFill="1" applyAlignment="1">
      <alignment horizontal="right" vertical="top" wrapText="1" indent="1"/>
    </xf>
    <xf numFmtId="0" fontId="8" fillId="0" borderId="11" xfId="0" applyFont="1" applyBorder="1" applyAlignment="1">
      <alignment horizontal="left" vertical="top" wrapText="1" indent="1"/>
    </xf>
    <xf numFmtId="0" fontId="8" fillId="0" borderId="12" xfId="0" applyFont="1" applyBorder="1" applyAlignment="1">
      <alignment horizontal="left" vertical="top" wrapText="1" indent="1"/>
    </xf>
    <xf numFmtId="0" fontId="8" fillId="0" borderId="13" xfId="0" applyFont="1" applyBorder="1" applyAlignment="1">
      <alignment horizontal="left" vertical="top" wrapText="1" indent="1"/>
    </xf>
    <xf numFmtId="0" fontId="19" fillId="0" borderId="0" xfId="0" applyFont="1" applyAlignment="1">
      <alignment horizontal="left" vertical="center" wrapText="1" indent="1"/>
    </xf>
    <xf numFmtId="0" fontId="12" fillId="7" borderId="61" xfId="0" applyFont="1" applyFill="1" applyBorder="1" applyAlignment="1">
      <alignment horizontal="center" vertical="top" wrapText="1"/>
    </xf>
    <xf numFmtId="0" fontId="12" fillId="7" borderId="19" xfId="0" applyFont="1" applyFill="1" applyBorder="1" applyAlignment="1">
      <alignment horizontal="center" vertical="top" wrapText="1"/>
    </xf>
    <xf numFmtId="0" fontId="12" fillId="7" borderId="0" xfId="0" applyFont="1" applyFill="1" applyAlignment="1">
      <alignment horizontal="right" vertical="top" wrapText="1" indent="1"/>
    </xf>
    <xf numFmtId="0" fontId="12" fillId="7" borderId="45" xfId="0" applyFont="1" applyFill="1" applyBorder="1" applyAlignment="1">
      <alignment horizontal="right" vertical="top" wrapText="1" indent="1"/>
    </xf>
    <xf numFmtId="0" fontId="7" fillId="0" borderId="1" xfId="0" applyFont="1" applyBorder="1" applyAlignment="1">
      <alignment horizontal="left" vertical="top" wrapText="1" indent="1"/>
    </xf>
    <xf numFmtId="0" fontId="7" fillId="11" borderId="1" xfId="0" applyFont="1" applyFill="1" applyBorder="1" applyAlignment="1">
      <alignment horizontal="left" vertical="top" wrapText="1" indent="1"/>
    </xf>
    <xf numFmtId="0" fontId="13" fillId="0" borderId="2" xfId="0" applyFont="1" applyBorder="1" applyAlignment="1">
      <alignment horizontal="left" vertical="top" wrapText="1" indent="1"/>
    </xf>
    <xf numFmtId="0" fontId="13" fillId="0" borderId="3" xfId="0" applyFont="1" applyBorder="1" applyAlignment="1">
      <alignment horizontal="left" vertical="top" wrapText="1" indent="1"/>
    </xf>
    <xf numFmtId="0" fontId="13" fillId="0" borderId="4" xfId="0" applyFont="1" applyBorder="1" applyAlignment="1">
      <alignment horizontal="left" vertical="top" wrapText="1" indent="1"/>
    </xf>
    <xf numFmtId="0" fontId="13" fillId="0" borderId="50" xfId="0" applyFont="1" applyBorder="1" applyAlignment="1">
      <alignment horizontal="left" vertical="top" wrapText="1" indent="1"/>
    </xf>
    <xf numFmtId="0" fontId="13" fillId="0" borderId="51" xfId="0" applyFont="1" applyBorder="1" applyAlignment="1">
      <alignment horizontal="left" vertical="top" wrapText="1" indent="1"/>
    </xf>
    <xf numFmtId="0" fontId="13" fillId="0" borderId="52" xfId="0" applyFont="1" applyBorder="1" applyAlignment="1">
      <alignment horizontal="left" vertical="top" wrapText="1" indent="1"/>
    </xf>
    <xf numFmtId="0" fontId="13" fillId="0" borderId="46" xfId="0" applyFont="1" applyBorder="1" applyAlignment="1">
      <alignment horizontal="left" vertical="top" wrapText="1" indent="1"/>
    </xf>
    <xf numFmtId="0" fontId="13" fillId="0" borderId="0" xfId="0" applyFont="1" applyAlignment="1">
      <alignment horizontal="left" vertical="top" wrapText="1" indent="1"/>
    </xf>
    <xf numFmtId="0" fontId="13" fillId="0" borderId="45" xfId="0" applyFont="1" applyBorder="1" applyAlignment="1">
      <alignment horizontal="left" vertical="top" wrapText="1" indent="1"/>
    </xf>
    <xf numFmtId="0" fontId="13" fillId="0" borderId="33" xfId="0" applyFont="1" applyBorder="1" applyAlignment="1">
      <alignment horizontal="left" vertical="top" wrapText="1" indent="1"/>
    </xf>
    <xf numFmtId="0" fontId="13" fillId="0" borderId="53" xfId="0" applyFont="1" applyBorder="1" applyAlignment="1">
      <alignment horizontal="left" vertical="top" wrapText="1" indent="1"/>
    </xf>
    <xf numFmtId="0" fontId="13" fillId="0" borderId="54" xfId="0" applyFont="1" applyBorder="1" applyAlignment="1">
      <alignment horizontal="left" vertical="top" wrapText="1" indent="1"/>
    </xf>
    <xf numFmtId="0" fontId="13" fillId="0" borderId="8" xfId="0" applyFont="1" applyBorder="1" applyAlignment="1">
      <alignment horizontal="left" vertical="top" wrapText="1" indent="1"/>
    </xf>
    <xf numFmtId="0" fontId="13" fillId="0" borderId="9" xfId="0" applyFont="1" applyBorder="1" applyAlignment="1">
      <alignment horizontal="left" vertical="top" wrapText="1" indent="1"/>
    </xf>
    <xf numFmtId="0" fontId="7" fillId="0" borderId="5" xfId="0" applyFont="1" applyBorder="1" applyAlignment="1">
      <alignment horizontal="left" vertical="top" wrapText="1" indent="1"/>
    </xf>
    <xf numFmtId="0" fontId="13" fillId="0" borderId="5" xfId="0" applyFont="1" applyBorder="1" applyAlignment="1">
      <alignment horizontal="left" vertical="top" wrapText="1" indent="1"/>
    </xf>
    <xf numFmtId="0" fontId="7" fillId="0" borderId="6" xfId="0" applyFont="1" applyBorder="1" applyAlignment="1">
      <alignment horizontal="left" vertical="top" wrapText="1" indent="1"/>
    </xf>
    <xf numFmtId="0" fontId="7" fillId="0" borderId="7" xfId="0" applyFont="1" applyBorder="1" applyAlignment="1">
      <alignment horizontal="left" vertical="top" wrapText="1" indent="1"/>
    </xf>
    <xf numFmtId="0" fontId="13" fillId="0" borderId="11" xfId="0" applyFont="1" applyBorder="1" applyAlignment="1">
      <alignment horizontal="left" vertical="top" wrapText="1" indent="1"/>
    </xf>
    <xf numFmtId="0" fontId="13" fillId="0" borderId="12" xfId="0" applyFont="1" applyBorder="1" applyAlignment="1">
      <alignment horizontal="left" vertical="top" wrapText="1" indent="1"/>
    </xf>
    <xf numFmtId="0" fontId="13" fillId="0" borderId="13" xfId="0" applyFont="1" applyBorder="1" applyAlignment="1">
      <alignment horizontal="left" vertical="top" wrapText="1" indent="1"/>
    </xf>
    <xf numFmtId="0" fontId="7" fillId="0" borderId="14" xfId="0" applyFont="1" applyBorder="1" applyAlignment="1">
      <alignment horizontal="left" vertical="top" wrapText="1" indent="1"/>
    </xf>
    <xf numFmtId="0" fontId="13" fillId="0" borderId="6" xfId="0" applyFont="1" applyBorder="1" applyAlignment="1">
      <alignment horizontal="left" vertical="top" wrapText="1" indent="1"/>
    </xf>
    <xf numFmtId="0" fontId="13" fillId="0" borderId="7" xfId="0" applyFont="1" applyBorder="1" applyAlignment="1">
      <alignment horizontal="left" vertical="top" wrapText="1" indent="1"/>
    </xf>
    <xf numFmtId="0" fontId="13" fillId="0" borderId="15" xfId="0" applyFont="1" applyBorder="1" applyAlignment="1">
      <alignment horizontal="left" vertical="top" wrapText="1" indent="1"/>
    </xf>
    <xf numFmtId="0" fontId="13" fillId="0" borderId="16" xfId="0" applyFont="1" applyBorder="1" applyAlignment="1">
      <alignment horizontal="left" vertical="top" wrapText="1" indent="1"/>
    </xf>
    <xf numFmtId="0" fontId="13" fillId="0" borderId="17" xfId="0" applyFont="1" applyBorder="1" applyAlignment="1">
      <alignment horizontal="left" vertical="top" wrapText="1" indent="1"/>
    </xf>
    <xf numFmtId="0" fontId="13" fillId="0" borderId="18" xfId="0" applyFont="1" applyBorder="1" applyAlignment="1">
      <alignment horizontal="left" vertical="top" wrapText="1" indent="1"/>
    </xf>
    <xf numFmtId="0" fontId="13" fillId="0" borderId="19" xfId="0" applyFont="1" applyBorder="1" applyAlignment="1">
      <alignment horizontal="left" vertical="top" wrapText="1" indent="1"/>
    </xf>
    <xf numFmtId="0" fontId="13" fillId="0" borderId="20" xfId="0" applyFont="1" applyBorder="1" applyAlignment="1">
      <alignment horizontal="left" vertical="top" wrapText="1" indent="1"/>
    </xf>
    <xf numFmtId="0" fontId="7" fillId="0" borderId="15" xfId="0" applyFont="1" applyBorder="1" applyAlignment="1">
      <alignment horizontal="left" vertical="top" wrapText="1" indent="1"/>
    </xf>
    <xf numFmtId="0" fontId="7" fillId="0" borderId="16" xfId="0" applyFont="1" applyBorder="1" applyAlignment="1">
      <alignment horizontal="left" vertical="top" wrapText="1" indent="1"/>
    </xf>
    <xf numFmtId="0" fontId="7" fillId="0" borderId="17" xfId="0" applyFont="1" applyBorder="1" applyAlignment="1">
      <alignment horizontal="left" vertical="top" wrapText="1" indent="1"/>
    </xf>
    <xf numFmtId="0" fontId="7" fillId="0" borderId="18" xfId="0" applyFont="1" applyBorder="1" applyAlignment="1">
      <alignment horizontal="left" vertical="top" wrapText="1" indent="1"/>
    </xf>
    <xf numFmtId="0" fontId="7" fillId="0" borderId="19" xfId="0" applyFont="1" applyBorder="1" applyAlignment="1">
      <alignment horizontal="left" vertical="top" wrapText="1" indent="1"/>
    </xf>
    <xf numFmtId="0" fontId="7" fillId="0" borderId="20" xfId="0" applyFont="1" applyBorder="1" applyAlignment="1">
      <alignment horizontal="left" vertical="top" wrapText="1" indent="1"/>
    </xf>
    <xf numFmtId="0" fontId="7" fillId="0" borderId="10" xfId="0" applyFont="1" applyBorder="1" applyAlignment="1">
      <alignment horizontal="left" vertical="top" wrapText="1" indent="1"/>
    </xf>
    <xf numFmtId="0" fontId="7" fillId="0" borderId="24" xfId="0" applyFont="1" applyBorder="1" applyAlignment="1">
      <alignment horizontal="left" vertical="top" wrapText="1" indent="1"/>
    </xf>
    <xf numFmtId="0" fontId="7" fillId="0" borderId="25" xfId="0" applyFont="1" applyBorder="1" applyAlignment="1">
      <alignment horizontal="left" vertical="top" wrapText="1" indent="1"/>
    </xf>
    <xf numFmtId="0" fontId="7" fillId="0" borderId="26" xfId="0" applyFont="1" applyBorder="1" applyAlignment="1">
      <alignment horizontal="left" vertical="top" wrapText="1" indent="1"/>
    </xf>
    <xf numFmtId="0" fontId="7" fillId="0" borderId="27" xfId="0" applyFont="1" applyBorder="1" applyAlignment="1">
      <alignment horizontal="left" vertical="top" wrapText="1" indent="1"/>
    </xf>
    <xf numFmtId="0" fontId="7" fillId="0" borderId="28" xfId="0" applyFont="1" applyBorder="1" applyAlignment="1">
      <alignment horizontal="left" vertical="top" wrapText="1" indent="1"/>
    </xf>
    <xf numFmtId="0" fontId="7" fillId="0" borderId="30" xfId="0" applyFont="1" applyBorder="1" applyAlignment="1">
      <alignment horizontal="left" vertical="top" wrapText="1" indent="1"/>
    </xf>
    <xf numFmtId="0" fontId="7" fillId="0" borderId="31" xfId="0" applyFont="1" applyBorder="1" applyAlignment="1">
      <alignment horizontal="left" vertical="top" wrapText="1" indent="1"/>
    </xf>
    <xf numFmtId="0" fontId="13" fillId="0" borderId="24" xfId="0" applyFont="1" applyBorder="1" applyAlignment="1">
      <alignment horizontal="left" vertical="top" wrapText="1" indent="1"/>
    </xf>
    <xf numFmtId="0" fontId="13" fillId="0" borderId="25" xfId="0" applyFont="1" applyBorder="1" applyAlignment="1">
      <alignment horizontal="left" vertical="top" wrapText="1" indent="1"/>
    </xf>
    <xf numFmtId="0" fontId="13" fillId="0" borderId="26" xfId="0" applyFont="1" applyBorder="1" applyAlignment="1">
      <alignment horizontal="left" vertical="top" wrapText="1" indent="1"/>
    </xf>
    <xf numFmtId="0" fontId="13" fillId="0" borderId="38" xfId="0" applyFont="1" applyBorder="1" applyAlignment="1">
      <alignment horizontal="left" vertical="top" wrapText="1" indent="1"/>
    </xf>
    <xf numFmtId="0" fontId="13" fillId="0" borderId="27" xfId="0" applyFont="1" applyBorder="1" applyAlignment="1">
      <alignment horizontal="left" vertical="top" wrapText="1" indent="1"/>
    </xf>
    <xf numFmtId="0" fontId="13" fillId="0" borderId="39" xfId="0" applyFont="1" applyBorder="1" applyAlignment="1">
      <alignment horizontal="left" vertical="top" wrapText="1" indent="1"/>
    </xf>
    <xf numFmtId="0" fontId="13" fillId="0" borderId="47" xfId="0" applyFont="1" applyBorder="1" applyAlignment="1">
      <alignment horizontal="left" vertical="top" wrapText="1" indent="1"/>
    </xf>
    <xf numFmtId="0" fontId="13" fillId="0" borderId="48" xfId="0" applyFont="1" applyBorder="1" applyAlignment="1">
      <alignment horizontal="left" vertical="top" wrapText="1" indent="1"/>
    </xf>
    <xf numFmtId="0" fontId="13" fillId="0" borderId="40" xfId="0" applyFont="1" applyBorder="1" applyAlignment="1">
      <alignment horizontal="left" vertical="top" wrapText="1" indent="1"/>
    </xf>
    <xf numFmtId="0" fontId="13" fillId="0" borderId="28" xfId="0" applyFont="1" applyBorder="1" applyAlignment="1">
      <alignment horizontal="left" vertical="top" wrapText="1" indent="1"/>
    </xf>
    <xf numFmtId="0" fontId="13" fillId="0" borderId="41" xfId="0" applyFont="1" applyBorder="1" applyAlignment="1">
      <alignment horizontal="left" vertical="top" wrapText="1" indent="1"/>
    </xf>
    <xf numFmtId="0" fontId="13" fillId="0" borderId="43" xfId="0" applyFont="1" applyBorder="1" applyAlignment="1">
      <alignment horizontal="left" vertical="top" wrapText="1" indent="1"/>
    </xf>
    <xf numFmtId="0" fontId="13" fillId="0" borderId="44" xfId="0" applyFont="1" applyBorder="1" applyAlignment="1">
      <alignment horizontal="left" vertical="top" wrapText="1" indent="1"/>
    </xf>
    <xf numFmtId="0" fontId="13" fillId="0" borderId="29" xfId="0" applyFont="1" applyBorder="1" applyAlignment="1">
      <alignment horizontal="left" vertical="top" wrapText="1" indent="1"/>
    </xf>
    <xf numFmtId="0" fontId="7" fillId="0" borderId="38" xfId="0" applyFont="1" applyBorder="1" applyAlignment="1">
      <alignment horizontal="left" vertical="top" wrapText="1" indent="1"/>
    </xf>
    <xf numFmtId="0" fontId="7" fillId="0" borderId="40" xfId="0" applyFont="1" applyBorder="1" applyAlignment="1">
      <alignment horizontal="left" vertical="top" wrapText="1" indent="1"/>
    </xf>
    <xf numFmtId="0" fontId="7" fillId="11" borderId="30" xfId="0" applyFont="1" applyFill="1" applyBorder="1" applyAlignment="1">
      <alignment horizontal="left" vertical="top" wrapText="1" indent="1"/>
    </xf>
    <xf numFmtId="0" fontId="7" fillId="11" borderId="31" xfId="0" applyFont="1" applyFill="1" applyBorder="1" applyAlignment="1">
      <alignment horizontal="left" vertical="top" wrapText="1" indent="1"/>
    </xf>
    <xf numFmtId="0" fontId="17" fillId="0" borderId="21" xfId="1" applyFont="1" applyBorder="1" applyAlignment="1">
      <alignment horizontal="center"/>
    </xf>
    <xf numFmtId="0" fontId="17" fillId="0" borderId="32" xfId="4" applyFont="1" applyBorder="1" applyAlignment="1">
      <alignment horizontal="right" vertical="center"/>
    </xf>
    <xf numFmtId="0" fontId="17" fillId="0" borderId="22" xfId="4" applyFont="1" applyBorder="1" applyAlignment="1">
      <alignment horizontal="right" vertical="center"/>
    </xf>
    <xf numFmtId="0" fontId="17" fillId="0" borderId="4" xfId="4" applyFont="1" applyBorder="1" applyAlignment="1">
      <alignment vertical="center"/>
    </xf>
    <xf numFmtId="0" fontId="17" fillId="0" borderId="33" xfId="4" applyFont="1" applyBorder="1" applyAlignment="1">
      <alignment vertical="center"/>
    </xf>
    <xf numFmtId="0" fontId="17" fillId="0" borderId="1" xfId="4" applyFont="1" applyBorder="1" applyAlignment="1">
      <alignment vertical="center"/>
    </xf>
    <xf numFmtId="0" fontId="17" fillId="0" borderId="8" xfId="4" applyFont="1" applyBorder="1" applyAlignment="1">
      <alignment vertical="center"/>
    </xf>
    <xf numFmtId="0" fontId="17" fillId="0" borderId="9" xfId="4" applyFont="1" applyBorder="1" applyAlignment="1">
      <alignment vertical="center"/>
    </xf>
    <xf numFmtId="0" fontId="27" fillId="0" borderId="15" xfId="0" applyFont="1" applyBorder="1" applyAlignment="1">
      <alignment horizontal="left" vertical="top" wrapText="1"/>
    </xf>
    <xf numFmtId="0" fontId="27" fillId="0" borderId="57" xfId="0" applyFont="1" applyBorder="1" applyAlignment="1">
      <alignment horizontal="left" vertical="top" wrapText="1"/>
    </xf>
    <xf numFmtId="0" fontId="27" fillId="0" borderId="18" xfId="0" applyFont="1" applyBorder="1" applyAlignment="1">
      <alignment horizontal="left" vertical="top" wrapText="1"/>
    </xf>
    <xf numFmtId="0" fontId="30" fillId="0" borderId="58" xfId="0" applyFont="1" applyBorder="1" applyAlignment="1">
      <alignment horizontal="left" vertical="top" wrapText="1"/>
    </xf>
    <xf numFmtId="0" fontId="27" fillId="0" borderId="59" xfId="0" applyFont="1" applyBorder="1" applyAlignment="1">
      <alignment horizontal="left" vertical="top" wrapText="1"/>
    </xf>
    <xf numFmtId="0" fontId="27" fillId="0" borderId="60" xfId="0" applyFont="1" applyBorder="1" applyAlignment="1">
      <alignment horizontal="left" vertical="top" wrapText="1"/>
    </xf>
    <xf numFmtId="0" fontId="27" fillId="0" borderId="6" xfId="0" applyFont="1" applyBorder="1" applyAlignment="1">
      <alignment horizontal="left" vertical="top" wrapText="1"/>
    </xf>
    <xf numFmtId="0" fontId="27" fillId="0" borderId="14" xfId="0" applyFont="1" applyBorder="1" applyAlignment="1">
      <alignment horizontal="left" vertical="top" wrapText="1"/>
    </xf>
    <xf numFmtId="0" fontId="27" fillId="0" borderId="7" xfId="0" applyFont="1" applyBorder="1" applyAlignment="1">
      <alignment horizontal="left" vertical="top" wrapText="1"/>
    </xf>
    <xf numFmtId="0" fontId="29" fillId="15" borderId="55" xfId="0" applyFont="1" applyFill="1" applyBorder="1" applyAlignment="1">
      <alignment horizontal="left"/>
    </xf>
    <xf numFmtId="0" fontId="27" fillId="0" borderId="56" xfId="0" applyFont="1" applyBorder="1" applyAlignment="1">
      <alignment horizontal="left" vertical="top" wrapText="1"/>
    </xf>
    <xf numFmtId="0" fontId="32" fillId="21" borderId="23" xfId="0" applyFont="1" applyFill="1" applyBorder="1" applyAlignment="1">
      <alignment horizontal="center" vertical="center"/>
    </xf>
    <xf numFmtId="0" fontId="32" fillId="17" borderId="23" xfId="0" applyFont="1" applyFill="1" applyBorder="1" applyAlignment="1">
      <alignment horizontal="center" vertical="center"/>
    </xf>
    <xf numFmtId="0" fontId="32" fillId="17" borderId="23" xfId="0" applyFont="1" applyFill="1" applyBorder="1" applyAlignment="1">
      <alignment horizontal="center" vertical="center" wrapText="1"/>
    </xf>
    <xf numFmtId="0" fontId="32" fillId="19" borderId="23" xfId="0" applyFont="1" applyFill="1" applyBorder="1" applyAlignment="1">
      <alignment horizontal="center" vertical="center"/>
    </xf>
    <xf numFmtId="0" fontId="32" fillId="19" borderId="23" xfId="0" applyFont="1" applyFill="1" applyBorder="1" applyAlignment="1">
      <alignment horizontal="center" vertical="center" wrapText="1"/>
    </xf>
    <xf numFmtId="0" fontId="37" fillId="0" borderId="62" xfId="0" applyFont="1" applyBorder="1" applyAlignment="1">
      <alignment vertical="center" wrapText="1"/>
    </xf>
    <xf numFmtId="3" fontId="35" fillId="0" borderId="62" xfId="0" applyNumberFormat="1" applyFont="1" applyBorder="1" applyAlignment="1">
      <alignment horizontal="center" vertical="center" wrapText="1"/>
    </xf>
    <xf numFmtId="0" fontId="35" fillId="0" borderId="63" xfId="0" applyFont="1" applyBorder="1" applyAlignment="1">
      <alignment vertical="center" wrapText="1"/>
    </xf>
    <xf numFmtId="0" fontId="35" fillId="0" borderId="0" xfId="0" applyFont="1" applyAlignment="1">
      <alignment vertical="center" wrapText="1"/>
    </xf>
    <xf numFmtId="0" fontId="35" fillId="0" borderId="62" xfId="0" applyFont="1" applyBorder="1" applyAlignment="1">
      <alignment horizontal="center" vertical="center" wrapText="1"/>
    </xf>
  </cellXfs>
  <cellStyles count="5">
    <cellStyle name="Normal" xfId="0" builtinId="0"/>
    <cellStyle name="Normal 2" xfId="1" xr:uid="{50462C85-C5C3-4146-89C6-4541BC37D100}"/>
    <cellStyle name="Normal 2 2" xfId="4" xr:uid="{7E5E7C9D-1218-4D97-B5B9-C6A0D5CF9695}"/>
    <cellStyle name="Normal 3" xfId="2" xr:uid="{979D5CDF-5FCE-4F1E-AB6D-7C14334B8116}"/>
    <cellStyle name="Normal 4" xfId="3" xr:uid="{34A5730E-2024-4433-9CA9-F4263E9F0C6B}"/>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9E818-4577-4ACC-A313-6311F036DE67}">
  <sheetPr codeName="Planilha1">
    <tabColor theme="5" tint="0.39997558519241921"/>
  </sheetPr>
  <dimension ref="A1:Z10"/>
  <sheetViews>
    <sheetView showGridLines="0" topLeftCell="A7" workbookViewId="0">
      <selection activeCell="B10" sqref="B10"/>
    </sheetView>
  </sheetViews>
  <sheetFormatPr defaultRowHeight="13.2" x14ac:dyDescent="0.25"/>
  <cols>
    <col min="2" max="2" width="184.88671875" customWidth="1"/>
  </cols>
  <sheetData>
    <row r="1" spans="1:26" s="33" customFormat="1" ht="17.399999999999999" x14ac:dyDescent="0.3">
      <c r="A1" s="33" t="s">
        <v>956</v>
      </c>
    </row>
    <row r="2" spans="1:26" s="33" customFormat="1" ht="17.399999999999999" x14ac:dyDescent="0.3">
      <c r="A2" s="33" t="s">
        <v>963</v>
      </c>
    </row>
    <row r="4" spans="1:26" s="48" customFormat="1" ht="45" x14ac:dyDescent="0.25">
      <c r="A4" s="46">
        <v>1</v>
      </c>
      <c r="B4" s="8" t="s">
        <v>957</v>
      </c>
      <c r="C4" s="47"/>
      <c r="D4" s="47"/>
      <c r="E4" s="47"/>
      <c r="F4" s="47"/>
      <c r="G4" s="47"/>
      <c r="H4" s="47"/>
      <c r="I4" s="47"/>
      <c r="J4" s="47"/>
      <c r="K4" s="47"/>
      <c r="L4" s="47"/>
      <c r="M4" s="47"/>
      <c r="N4" s="47"/>
      <c r="O4" s="47"/>
      <c r="P4" s="47"/>
      <c r="Q4" s="47"/>
      <c r="R4" s="47"/>
      <c r="S4" s="47"/>
      <c r="T4" s="47"/>
      <c r="U4" s="47"/>
      <c r="V4" s="47"/>
      <c r="W4" s="47"/>
      <c r="X4" s="47"/>
      <c r="Y4" s="47"/>
      <c r="Z4" s="47"/>
    </row>
    <row r="5" spans="1:26" ht="60" x14ac:dyDescent="0.25">
      <c r="A5" s="46">
        <v>2</v>
      </c>
      <c r="B5" s="8" t="s">
        <v>958</v>
      </c>
    </row>
    <row r="6" spans="1:26" ht="90" x14ac:dyDescent="0.25">
      <c r="A6" s="46">
        <v>3</v>
      </c>
      <c r="B6" s="8" t="s">
        <v>959</v>
      </c>
    </row>
    <row r="7" spans="1:26" ht="150" x14ac:dyDescent="0.25">
      <c r="A7" s="46">
        <v>4</v>
      </c>
      <c r="B7" s="8" t="s">
        <v>960</v>
      </c>
    </row>
    <row r="8" spans="1:26" ht="45" x14ac:dyDescent="0.25">
      <c r="A8" s="46">
        <v>5</v>
      </c>
      <c r="B8" s="8" t="s">
        <v>961</v>
      </c>
    </row>
    <row r="9" spans="1:26" ht="30" x14ac:dyDescent="0.25">
      <c r="A9" s="46">
        <v>6</v>
      </c>
      <c r="B9" s="8" t="s">
        <v>962</v>
      </c>
    </row>
    <row r="10" spans="1:26" ht="45" x14ac:dyDescent="0.25">
      <c r="A10" s="46">
        <v>7</v>
      </c>
      <c r="B10" s="8" t="s">
        <v>964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CAE1-93AE-4AF0-BD87-D2885E466E36}">
  <sheetPr codeName="Planilha2">
    <tabColor theme="5"/>
  </sheetPr>
  <dimension ref="A1:H61"/>
  <sheetViews>
    <sheetView showGridLines="0" zoomScale="120" zoomScaleNormal="120" workbookViewId="0">
      <pane ySplit="1" topLeftCell="A58" activePane="bottomLeft" state="frozen"/>
      <selection pane="bottomLeft" activeCell="G62" sqref="G62"/>
    </sheetView>
  </sheetViews>
  <sheetFormatPr defaultColWidth="9.109375" defaultRowHeight="13.2" x14ac:dyDescent="0.25"/>
  <cols>
    <col min="1" max="1" width="11" style="55" customWidth="1"/>
    <col min="2" max="2" width="7.6640625" style="55" customWidth="1"/>
    <col min="3" max="3" width="12.44140625" style="55" bestFit="1" customWidth="1"/>
    <col min="4" max="4" width="11.6640625" style="55" bestFit="1" customWidth="1"/>
    <col min="5" max="5" width="10.44140625" style="55" bestFit="1" customWidth="1"/>
    <col min="6" max="7" width="38.6640625" style="51" customWidth="1"/>
    <col min="8" max="8" width="41.6640625" style="51" bestFit="1" customWidth="1"/>
    <col min="9" max="16384" width="9.109375" style="51"/>
  </cols>
  <sheetData>
    <row r="1" spans="1:8" x14ac:dyDescent="0.25">
      <c r="A1" s="49" t="s">
        <v>528</v>
      </c>
      <c r="B1" s="49" t="s">
        <v>980</v>
      </c>
      <c r="C1" s="49" t="s">
        <v>707</v>
      </c>
      <c r="D1" s="49" t="s">
        <v>524</v>
      </c>
      <c r="E1" s="49" t="s">
        <v>569</v>
      </c>
      <c r="F1" s="50" t="s">
        <v>981</v>
      </c>
      <c r="G1" s="50" t="s">
        <v>982</v>
      </c>
      <c r="H1" s="50" t="s">
        <v>570</v>
      </c>
    </row>
    <row r="2" spans="1:8" ht="145.19999999999999" x14ac:dyDescent="0.25">
      <c r="A2" s="52" t="s">
        <v>985</v>
      </c>
      <c r="B2" s="77" t="s">
        <v>991</v>
      </c>
      <c r="C2" s="56">
        <v>10</v>
      </c>
      <c r="D2" s="52">
        <v>116</v>
      </c>
      <c r="E2" s="78" t="s">
        <v>524</v>
      </c>
      <c r="F2" s="62" t="s">
        <v>1159</v>
      </c>
      <c r="G2" s="62" t="s">
        <v>1161</v>
      </c>
      <c r="H2" s="79" t="s">
        <v>1160</v>
      </c>
    </row>
    <row r="3" spans="1:8" ht="92.4" x14ac:dyDescent="0.25">
      <c r="A3" s="52" t="s">
        <v>985</v>
      </c>
      <c r="B3" s="77" t="s">
        <v>991</v>
      </c>
      <c r="C3" s="56">
        <v>20</v>
      </c>
      <c r="D3" s="52">
        <v>14</v>
      </c>
      <c r="E3" s="78" t="s">
        <v>524</v>
      </c>
      <c r="F3" s="62" t="s">
        <v>1158</v>
      </c>
      <c r="G3" s="62" t="s">
        <v>1162</v>
      </c>
      <c r="H3" s="79" t="s">
        <v>1157</v>
      </c>
    </row>
    <row r="4" spans="1:8" ht="39.6" x14ac:dyDescent="0.25">
      <c r="A4" s="57" t="s">
        <v>983</v>
      </c>
      <c r="B4" s="57" t="s">
        <v>991</v>
      </c>
      <c r="C4" s="57">
        <v>20</v>
      </c>
      <c r="D4" s="57">
        <v>25</v>
      </c>
      <c r="E4" s="57" t="s">
        <v>524</v>
      </c>
      <c r="F4" s="58" t="s">
        <v>994</v>
      </c>
      <c r="G4" s="58" t="s">
        <v>992</v>
      </c>
      <c r="H4" s="59" t="s">
        <v>993</v>
      </c>
    </row>
    <row r="5" spans="1:8" ht="26.4" x14ac:dyDescent="0.25">
      <c r="A5" s="57" t="s">
        <v>983</v>
      </c>
      <c r="B5" s="57" t="s">
        <v>991</v>
      </c>
      <c r="C5" s="57">
        <v>20</v>
      </c>
      <c r="D5" s="57">
        <v>27</v>
      </c>
      <c r="E5" s="57" t="s">
        <v>524</v>
      </c>
      <c r="F5" s="58" t="s">
        <v>995</v>
      </c>
      <c r="G5" s="58" t="s">
        <v>992</v>
      </c>
      <c r="H5" s="59" t="s">
        <v>993</v>
      </c>
    </row>
    <row r="6" spans="1:8" ht="52.8" x14ac:dyDescent="0.25">
      <c r="A6" s="57" t="s">
        <v>983</v>
      </c>
      <c r="B6" s="57" t="s">
        <v>991</v>
      </c>
      <c r="C6" s="57">
        <v>60</v>
      </c>
      <c r="D6" s="57">
        <v>9</v>
      </c>
      <c r="E6" s="57" t="s">
        <v>524</v>
      </c>
      <c r="F6" s="58" t="s">
        <v>996</v>
      </c>
      <c r="G6" s="58" t="s">
        <v>992</v>
      </c>
      <c r="H6" s="59" t="s">
        <v>993</v>
      </c>
    </row>
    <row r="7" spans="1:8" ht="66" x14ac:dyDescent="0.25">
      <c r="A7" s="52" t="s">
        <v>985</v>
      </c>
      <c r="B7" s="77" t="s">
        <v>991</v>
      </c>
      <c r="C7" s="78" t="s">
        <v>526</v>
      </c>
      <c r="D7" s="52">
        <v>50</v>
      </c>
      <c r="E7" s="78" t="s">
        <v>524</v>
      </c>
      <c r="F7" s="62" t="s">
        <v>545</v>
      </c>
      <c r="G7" s="62" t="s">
        <v>1163</v>
      </c>
      <c r="H7" s="79" t="s">
        <v>1157</v>
      </c>
    </row>
    <row r="8" spans="1:8" ht="52.8" x14ac:dyDescent="0.25">
      <c r="A8" s="52" t="s">
        <v>985</v>
      </c>
      <c r="B8" s="52" t="s">
        <v>984</v>
      </c>
      <c r="C8" s="56">
        <v>20</v>
      </c>
      <c r="D8" s="52">
        <v>26</v>
      </c>
      <c r="E8" s="56" t="s">
        <v>998</v>
      </c>
      <c r="F8" s="62" t="s">
        <v>1031</v>
      </c>
      <c r="G8" s="62" t="s">
        <v>967</v>
      </c>
      <c r="H8" s="54" t="s">
        <v>1032</v>
      </c>
    </row>
    <row r="9" spans="1:8" ht="26.4" x14ac:dyDescent="0.25">
      <c r="A9" s="52" t="s">
        <v>985</v>
      </c>
      <c r="B9" s="52" t="s">
        <v>984</v>
      </c>
      <c r="C9" s="52">
        <v>20</v>
      </c>
      <c r="D9" s="52">
        <v>27</v>
      </c>
      <c r="E9" s="56" t="s">
        <v>525</v>
      </c>
      <c r="F9" s="53" t="s">
        <v>989</v>
      </c>
      <c r="G9" s="53" t="s">
        <v>968</v>
      </c>
      <c r="H9" s="54" t="s">
        <v>990</v>
      </c>
    </row>
    <row r="10" spans="1:8" ht="39.6" x14ac:dyDescent="0.25">
      <c r="A10" s="52" t="s">
        <v>985</v>
      </c>
      <c r="B10" s="52" t="s">
        <v>984</v>
      </c>
      <c r="C10" s="52">
        <v>20</v>
      </c>
      <c r="D10" s="52">
        <v>27</v>
      </c>
      <c r="E10" s="52" t="s">
        <v>997</v>
      </c>
      <c r="F10" s="53" t="s">
        <v>988</v>
      </c>
      <c r="G10" s="53" t="s">
        <v>987</v>
      </c>
      <c r="H10" s="54" t="s">
        <v>1001</v>
      </c>
    </row>
    <row r="11" spans="1:8" ht="39.6" x14ac:dyDescent="0.25">
      <c r="A11" s="64" t="s">
        <v>983</v>
      </c>
      <c r="B11" s="57" t="s">
        <v>984</v>
      </c>
      <c r="C11" s="63">
        <v>30</v>
      </c>
      <c r="D11" s="64">
        <v>42</v>
      </c>
      <c r="E11" s="65" t="s">
        <v>997</v>
      </c>
      <c r="F11" s="66" t="s">
        <v>1029</v>
      </c>
      <c r="G11" s="58" t="s">
        <v>992</v>
      </c>
      <c r="H11" s="73" t="s">
        <v>1030</v>
      </c>
    </row>
    <row r="12" spans="1:8" ht="52.8" x14ac:dyDescent="0.25">
      <c r="A12" s="52" t="s">
        <v>985</v>
      </c>
      <c r="B12" s="52" t="s">
        <v>984</v>
      </c>
      <c r="C12" s="52">
        <v>60</v>
      </c>
      <c r="D12" s="52">
        <v>9</v>
      </c>
      <c r="E12" s="56" t="s">
        <v>525</v>
      </c>
      <c r="F12" s="53" t="s">
        <v>1002</v>
      </c>
      <c r="G12" s="53" t="s">
        <v>975</v>
      </c>
      <c r="H12" s="54" t="s">
        <v>990</v>
      </c>
    </row>
    <row r="13" spans="1:8" ht="92.4" x14ac:dyDescent="0.25">
      <c r="A13" s="52" t="s">
        <v>985</v>
      </c>
      <c r="B13" s="52" t="s">
        <v>984</v>
      </c>
      <c r="C13" s="56" t="s">
        <v>526</v>
      </c>
      <c r="D13" s="52">
        <v>5</v>
      </c>
      <c r="E13" s="56" t="s">
        <v>998</v>
      </c>
      <c r="F13" s="62" t="s">
        <v>1000</v>
      </c>
      <c r="G13" s="62" t="s">
        <v>887</v>
      </c>
      <c r="H13" s="54" t="s">
        <v>999</v>
      </c>
    </row>
    <row r="14" spans="1:8" ht="52.8" x14ac:dyDescent="0.25">
      <c r="A14" s="64" t="s">
        <v>983</v>
      </c>
      <c r="B14" s="57" t="s">
        <v>984</v>
      </c>
      <c r="C14" s="63" t="s">
        <v>526</v>
      </c>
      <c r="D14" s="64" t="s">
        <v>562</v>
      </c>
      <c r="E14" s="65" t="s">
        <v>1027</v>
      </c>
      <c r="F14" s="66" t="s">
        <v>1015</v>
      </c>
      <c r="G14" s="58" t="s">
        <v>992</v>
      </c>
      <c r="H14" s="73" t="s">
        <v>1019</v>
      </c>
    </row>
    <row r="15" spans="1:8" ht="39.6" x14ac:dyDescent="0.25">
      <c r="A15" s="64" t="s">
        <v>983</v>
      </c>
      <c r="B15" s="57" t="s">
        <v>984</v>
      </c>
      <c r="C15" s="63" t="s">
        <v>526</v>
      </c>
      <c r="D15" s="64" t="s">
        <v>562</v>
      </c>
      <c r="E15" s="65" t="s">
        <v>1014</v>
      </c>
      <c r="F15" s="58" t="s">
        <v>1026</v>
      </c>
      <c r="G15" s="58" t="s">
        <v>1012</v>
      </c>
      <c r="H15" s="59" t="s">
        <v>1013</v>
      </c>
    </row>
    <row r="16" spans="1:8" ht="52.8" x14ac:dyDescent="0.25">
      <c r="A16" s="64" t="s">
        <v>983</v>
      </c>
      <c r="B16" s="57" t="s">
        <v>984</v>
      </c>
      <c r="C16" s="63" t="s">
        <v>526</v>
      </c>
      <c r="D16" s="64" t="s">
        <v>563</v>
      </c>
      <c r="E16" s="65" t="s">
        <v>1027</v>
      </c>
      <c r="F16" s="66" t="s">
        <v>1015</v>
      </c>
      <c r="G16" s="58" t="s">
        <v>992</v>
      </c>
      <c r="H16" s="73" t="s">
        <v>1019</v>
      </c>
    </row>
    <row r="17" spans="1:8" ht="39.6" x14ac:dyDescent="0.25">
      <c r="A17" s="64" t="s">
        <v>983</v>
      </c>
      <c r="B17" s="57" t="s">
        <v>984</v>
      </c>
      <c r="C17" s="63" t="s">
        <v>526</v>
      </c>
      <c r="D17" s="64" t="s">
        <v>563</v>
      </c>
      <c r="E17" s="65" t="s">
        <v>1014</v>
      </c>
      <c r="F17" s="58" t="s">
        <v>1026</v>
      </c>
      <c r="G17" s="58" t="s">
        <v>1012</v>
      </c>
      <c r="H17" s="59" t="s">
        <v>1013</v>
      </c>
    </row>
    <row r="18" spans="1:8" ht="39.6" x14ac:dyDescent="0.25">
      <c r="A18" s="67" t="s">
        <v>1018</v>
      </c>
      <c r="B18" s="68" t="s">
        <v>984</v>
      </c>
      <c r="C18" s="69" t="s">
        <v>526</v>
      </c>
      <c r="D18" s="67" t="s">
        <v>1020</v>
      </c>
      <c r="E18" s="70" t="s">
        <v>1016</v>
      </c>
      <c r="F18" s="72" t="s">
        <v>1024</v>
      </c>
      <c r="G18" s="72" t="s">
        <v>597</v>
      </c>
      <c r="H18" s="71" t="s">
        <v>1019</v>
      </c>
    </row>
    <row r="19" spans="1:8" ht="39.6" x14ac:dyDescent="0.25">
      <c r="A19" s="67" t="s">
        <v>1018</v>
      </c>
      <c r="B19" s="68" t="s">
        <v>984</v>
      </c>
      <c r="C19" s="69" t="s">
        <v>526</v>
      </c>
      <c r="D19" s="67" t="s">
        <v>1021</v>
      </c>
      <c r="E19" s="70" t="s">
        <v>1016</v>
      </c>
      <c r="F19" s="72" t="s">
        <v>1023</v>
      </c>
      <c r="G19" s="72" t="s">
        <v>598</v>
      </c>
      <c r="H19" s="71" t="s">
        <v>1019</v>
      </c>
    </row>
    <row r="20" spans="1:8" ht="26.4" x14ac:dyDescent="0.25">
      <c r="A20" s="64" t="s">
        <v>983</v>
      </c>
      <c r="B20" s="57" t="s">
        <v>1034</v>
      </c>
      <c r="C20" s="63">
        <v>10</v>
      </c>
      <c r="D20" s="64">
        <v>56</v>
      </c>
      <c r="E20" s="65" t="s">
        <v>524</v>
      </c>
      <c r="F20" s="66" t="s">
        <v>1154</v>
      </c>
      <c r="G20" s="58" t="s">
        <v>992</v>
      </c>
      <c r="H20" s="73" t="s">
        <v>993</v>
      </c>
    </row>
    <row r="21" spans="1:8" ht="52.8" x14ac:dyDescent="0.25">
      <c r="A21" s="77" t="s">
        <v>985</v>
      </c>
      <c r="B21" s="52" t="s">
        <v>1034</v>
      </c>
      <c r="C21" s="78">
        <v>10</v>
      </c>
      <c r="D21" s="77">
        <v>92</v>
      </c>
      <c r="E21" s="78" t="s">
        <v>998</v>
      </c>
      <c r="F21" s="62" t="s">
        <v>1137</v>
      </c>
      <c r="G21" s="62" t="s">
        <v>1136</v>
      </c>
      <c r="H21" s="79" t="s">
        <v>1138</v>
      </c>
    </row>
    <row r="22" spans="1:8" ht="26.4" x14ac:dyDescent="0.25">
      <c r="A22" s="64" t="s">
        <v>983</v>
      </c>
      <c r="B22" s="57" t="s">
        <v>1034</v>
      </c>
      <c r="C22" s="63">
        <v>10</v>
      </c>
      <c r="D22" s="64">
        <v>120</v>
      </c>
      <c r="E22" s="65" t="s">
        <v>524</v>
      </c>
      <c r="F22" s="66" t="s">
        <v>1055</v>
      </c>
      <c r="G22" s="58" t="s">
        <v>992</v>
      </c>
      <c r="H22" s="73" t="s">
        <v>993</v>
      </c>
    </row>
    <row r="23" spans="1:8" ht="26.4" x14ac:dyDescent="0.25">
      <c r="A23" s="77" t="s">
        <v>985</v>
      </c>
      <c r="B23" s="52" t="s">
        <v>1034</v>
      </c>
      <c r="C23" s="78">
        <v>10</v>
      </c>
      <c r="D23" s="77">
        <v>135</v>
      </c>
      <c r="E23" s="78" t="s">
        <v>525</v>
      </c>
      <c r="F23" s="62" t="s">
        <v>1056</v>
      </c>
      <c r="G23" s="62" t="s">
        <v>317</v>
      </c>
      <c r="H23" s="79" t="s">
        <v>1057</v>
      </c>
    </row>
    <row r="24" spans="1:8" ht="39.6" x14ac:dyDescent="0.25">
      <c r="A24" s="64" t="s">
        <v>983</v>
      </c>
      <c r="B24" s="57" t="s">
        <v>1034</v>
      </c>
      <c r="C24" s="63">
        <v>10</v>
      </c>
      <c r="D24" s="64">
        <v>144</v>
      </c>
      <c r="E24" s="65" t="s">
        <v>524</v>
      </c>
      <c r="F24" s="66" t="s">
        <v>1153</v>
      </c>
      <c r="G24" s="58" t="s">
        <v>992</v>
      </c>
      <c r="H24" s="73" t="s">
        <v>993</v>
      </c>
    </row>
    <row r="25" spans="1:8" ht="26.4" x14ac:dyDescent="0.25">
      <c r="A25" s="64" t="s">
        <v>983</v>
      </c>
      <c r="B25" s="57" t="s">
        <v>1034</v>
      </c>
      <c r="C25" s="63">
        <v>10</v>
      </c>
      <c r="D25" s="64">
        <v>148</v>
      </c>
      <c r="E25" s="65" t="s">
        <v>524</v>
      </c>
      <c r="F25" s="66" t="s">
        <v>1152</v>
      </c>
      <c r="G25" s="58" t="s">
        <v>992</v>
      </c>
      <c r="H25" s="73" t="s">
        <v>993</v>
      </c>
    </row>
    <row r="26" spans="1:8" ht="39.6" x14ac:dyDescent="0.25">
      <c r="A26" s="64" t="s">
        <v>983</v>
      </c>
      <c r="B26" s="57" t="s">
        <v>1034</v>
      </c>
      <c r="C26" s="63">
        <v>10</v>
      </c>
      <c r="D26" s="64">
        <v>150</v>
      </c>
      <c r="E26" s="65" t="s">
        <v>524</v>
      </c>
      <c r="F26" s="66" t="s">
        <v>1151</v>
      </c>
      <c r="G26" s="58" t="s">
        <v>992</v>
      </c>
      <c r="H26" s="73" t="s">
        <v>993</v>
      </c>
    </row>
    <row r="27" spans="1:8" ht="66" x14ac:dyDescent="0.25">
      <c r="A27" s="77" t="s">
        <v>985</v>
      </c>
      <c r="B27" s="52" t="s">
        <v>1034</v>
      </c>
      <c r="C27" s="78">
        <v>20</v>
      </c>
      <c r="D27" s="77">
        <v>27</v>
      </c>
      <c r="E27" s="78" t="s">
        <v>998</v>
      </c>
      <c r="F27" s="62" t="s">
        <v>1117</v>
      </c>
      <c r="G27" s="62" t="s">
        <v>1120</v>
      </c>
      <c r="H27" s="79" t="s">
        <v>1122</v>
      </c>
    </row>
    <row r="28" spans="1:8" ht="79.2" x14ac:dyDescent="0.25">
      <c r="A28" s="77" t="s">
        <v>985</v>
      </c>
      <c r="B28" s="52" t="s">
        <v>1034</v>
      </c>
      <c r="C28" s="78">
        <v>20</v>
      </c>
      <c r="D28" s="77">
        <v>27</v>
      </c>
      <c r="E28" s="78" t="s">
        <v>997</v>
      </c>
      <c r="F28" s="62" t="s">
        <v>1119</v>
      </c>
      <c r="G28" s="62" t="s">
        <v>1121</v>
      </c>
      <c r="H28" s="79" t="s">
        <v>1123</v>
      </c>
    </row>
    <row r="29" spans="1:8" ht="52.8" x14ac:dyDescent="0.25">
      <c r="A29" s="77" t="s">
        <v>985</v>
      </c>
      <c r="B29" s="52" t="s">
        <v>1034</v>
      </c>
      <c r="C29" s="78">
        <v>20</v>
      </c>
      <c r="D29" s="77">
        <v>27</v>
      </c>
      <c r="E29" s="78" t="s">
        <v>1027</v>
      </c>
      <c r="F29" s="62" t="s">
        <v>1118</v>
      </c>
      <c r="G29" s="62" t="s">
        <v>986</v>
      </c>
      <c r="H29" s="79" t="s">
        <v>1124</v>
      </c>
    </row>
    <row r="30" spans="1:8" ht="39.6" x14ac:dyDescent="0.25">
      <c r="A30" s="64" t="s">
        <v>983</v>
      </c>
      <c r="B30" s="57" t="s">
        <v>1034</v>
      </c>
      <c r="C30" s="63">
        <v>20</v>
      </c>
      <c r="D30" s="64">
        <v>28</v>
      </c>
      <c r="E30" s="65" t="s">
        <v>997</v>
      </c>
      <c r="F30" s="66" t="s">
        <v>1095</v>
      </c>
      <c r="G30" s="58" t="s">
        <v>992</v>
      </c>
      <c r="H30" s="73" t="s">
        <v>1097</v>
      </c>
    </row>
    <row r="31" spans="1:8" ht="52.8" x14ac:dyDescent="0.25">
      <c r="A31" s="77" t="s">
        <v>985</v>
      </c>
      <c r="B31" s="52" t="s">
        <v>1034</v>
      </c>
      <c r="C31" s="78">
        <v>20</v>
      </c>
      <c r="D31" s="77">
        <v>29</v>
      </c>
      <c r="E31" s="78" t="s">
        <v>997</v>
      </c>
      <c r="F31" s="62" t="s">
        <v>1096</v>
      </c>
      <c r="G31" s="62" t="s">
        <v>656</v>
      </c>
      <c r="H31" s="79" t="s">
        <v>1097</v>
      </c>
    </row>
    <row r="32" spans="1:8" ht="26.4" x14ac:dyDescent="0.25">
      <c r="A32" s="77" t="s">
        <v>985</v>
      </c>
      <c r="B32" s="52" t="s">
        <v>1034</v>
      </c>
      <c r="C32" s="78">
        <v>30</v>
      </c>
      <c r="D32" s="77">
        <v>82</v>
      </c>
      <c r="E32" s="78" t="s">
        <v>525</v>
      </c>
      <c r="F32" s="62" t="s">
        <v>1155</v>
      </c>
      <c r="G32" s="62" t="s">
        <v>369</v>
      </c>
      <c r="H32" s="79" t="s">
        <v>1101</v>
      </c>
    </row>
    <row r="33" spans="1:8" ht="39.6" x14ac:dyDescent="0.25">
      <c r="A33" s="64" t="s">
        <v>983</v>
      </c>
      <c r="B33" s="57" t="s">
        <v>1034</v>
      </c>
      <c r="C33" s="63">
        <v>30</v>
      </c>
      <c r="D33" s="64">
        <v>91</v>
      </c>
      <c r="E33" s="65" t="s">
        <v>524</v>
      </c>
      <c r="F33" s="66" t="s">
        <v>1098</v>
      </c>
      <c r="G33" s="58" t="s">
        <v>992</v>
      </c>
      <c r="H33" s="73" t="s">
        <v>1102</v>
      </c>
    </row>
    <row r="34" spans="1:8" ht="39.6" x14ac:dyDescent="0.25">
      <c r="A34" s="64" t="s">
        <v>983</v>
      </c>
      <c r="B34" s="57" t="s">
        <v>1034</v>
      </c>
      <c r="C34" s="63">
        <v>30</v>
      </c>
      <c r="D34" s="64">
        <v>103</v>
      </c>
      <c r="E34" s="65" t="s">
        <v>524</v>
      </c>
      <c r="F34" s="66" t="s">
        <v>1099</v>
      </c>
      <c r="G34" s="58" t="s">
        <v>992</v>
      </c>
      <c r="H34" s="73" t="s">
        <v>1102</v>
      </c>
    </row>
    <row r="35" spans="1:8" ht="39.6" x14ac:dyDescent="0.25">
      <c r="A35" s="77" t="s">
        <v>985</v>
      </c>
      <c r="B35" s="52" t="s">
        <v>1034</v>
      </c>
      <c r="C35" s="78">
        <v>60</v>
      </c>
      <c r="D35" s="77">
        <v>21</v>
      </c>
      <c r="E35" s="78" t="s">
        <v>525</v>
      </c>
      <c r="F35" s="62" t="s">
        <v>1156</v>
      </c>
      <c r="G35" s="62" t="s">
        <v>505</v>
      </c>
      <c r="H35" s="79" t="s">
        <v>1103</v>
      </c>
    </row>
    <row r="36" spans="1:8" ht="39.6" x14ac:dyDescent="0.25">
      <c r="A36" s="64" t="s">
        <v>983</v>
      </c>
      <c r="B36" s="57" t="s">
        <v>1034</v>
      </c>
      <c r="C36" s="65" t="s">
        <v>1047</v>
      </c>
      <c r="D36" s="64">
        <v>3</v>
      </c>
      <c r="E36" s="65" t="s">
        <v>0</v>
      </c>
      <c r="F36" s="66" t="s">
        <v>1051</v>
      </c>
      <c r="G36" s="58" t="s">
        <v>992</v>
      </c>
      <c r="H36" s="73" t="s">
        <v>1052</v>
      </c>
    </row>
    <row r="37" spans="1:8" ht="26.4" x14ac:dyDescent="0.25">
      <c r="A37" s="77" t="s">
        <v>985</v>
      </c>
      <c r="B37" s="52" t="s">
        <v>1034</v>
      </c>
      <c r="C37" s="78" t="s">
        <v>1047</v>
      </c>
      <c r="D37" s="77">
        <v>4</v>
      </c>
      <c r="E37" s="78" t="s">
        <v>0</v>
      </c>
      <c r="F37" s="62" t="s">
        <v>1061</v>
      </c>
      <c r="G37" s="62" t="s">
        <v>1050</v>
      </c>
      <c r="H37" s="79" t="s">
        <v>1062</v>
      </c>
    </row>
    <row r="38" spans="1:8" ht="26.4" x14ac:dyDescent="0.25">
      <c r="A38" s="77" t="s">
        <v>985</v>
      </c>
      <c r="B38" s="52" t="s">
        <v>1034</v>
      </c>
      <c r="C38" s="78" t="s">
        <v>1047</v>
      </c>
      <c r="D38" s="77">
        <v>7</v>
      </c>
      <c r="E38" s="78" t="s">
        <v>0</v>
      </c>
      <c r="F38" s="62" t="s">
        <v>1104</v>
      </c>
      <c r="G38" s="62" t="s">
        <v>835</v>
      </c>
      <c r="H38" s="79" t="s">
        <v>1105</v>
      </c>
    </row>
    <row r="39" spans="1:8" ht="52.8" x14ac:dyDescent="0.25">
      <c r="A39" s="64" t="s">
        <v>983</v>
      </c>
      <c r="B39" s="57" t="s">
        <v>1034</v>
      </c>
      <c r="C39" s="65" t="s">
        <v>1047</v>
      </c>
      <c r="D39" s="64">
        <v>41</v>
      </c>
      <c r="E39" s="65" t="s">
        <v>0</v>
      </c>
      <c r="F39" s="66" t="s">
        <v>1048</v>
      </c>
      <c r="G39" s="58" t="s">
        <v>992</v>
      </c>
      <c r="H39" s="73" t="s">
        <v>1049</v>
      </c>
    </row>
    <row r="40" spans="1:8" ht="105.6" x14ac:dyDescent="0.25">
      <c r="A40" s="64" t="s">
        <v>983</v>
      </c>
      <c r="B40" s="57" t="s">
        <v>1034</v>
      </c>
      <c r="C40" s="65" t="s">
        <v>1047</v>
      </c>
      <c r="D40" s="64">
        <v>42</v>
      </c>
      <c r="E40" s="65" t="s">
        <v>0</v>
      </c>
      <c r="F40" s="66" t="s">
        <v>1053</v>
      </c>
      <c r="G40" s="58" t="s">
        <v>992</v>
      </c>
      <c r="H40" s="73" t="s">
        <v>1054</v>
      </c>
    </row>
    <row r="41" spans="1:8" s="114" customFormat="1" ht="39.6" x14ac:dyDescent="0.25">
      <c r="A41" s="64" t="s">
        <v>983</v>
      </c>
      <c r="B41" s="64" t="s">
        <v>1164</v>
      </c>
      <c r="C41" s="65" t="s">
        <v>526</v>
      </c>
      <c r="D41" s="64">
        <v>14</v>
      </c>
      <c r="E41" s="65" t="s">
        <v>997</v>
      </c>
      <c r="F41" s="66" t="s">
        <v>1175</v>
      </c>
      <c r="G41" s="66" t="s">
        <v>992</v>
      </c>
      <c r="H41" s="73" t="s">
        <v>1176</v>
      </c>
    </row>
    <row r="42" spans="1:8" s="114" customFormat="1" ht="118.8" x14ac:dyDescent="0.25">
      <c r="A42" s="77" t="s">
        <v>985</v>
      </c>
      <c r="B42" s="77" t="s">
        <v>1164</v>
      </c>
      <c r="C42" s="78" t="s">
        <v>526</v>
      </c>
      <c r="D42" s="77">
        <v>47</v>
      </c>
      <c r="E42" s="78" t="s">
        <v>1208</v>
      </c>
      <c r="F42" s="62" t="s">
        <v>1210</v>
      </c>
      <c r="G42" s="62" t="s">
        <v>612</v>
      </c>
      <c r="H42" s="79" t="s">
        <v>1209</v>
      </c>
    </row>
    <row r="43" spans="1:8" s="114" customFormat="1" ht="39.6" x14ac:dyDescent="0.25">
      <c r="A43" s="77" t="s">
        <v>985</v>
      </c>
      <c r="B43" s="77" t="s">
        <v>1164</v>
      </c>
      <c r="C43" s="78" t="s">
        <v>526</v>
      </c>
      <c r="D43" s="77">
        <v>50</v>
      </c>
      <c r="E43" s="78" t="s">
        <v>1027</v>
      </c>
      <c r="F43" s="62" t="s">
        <v>1170</v>
      </c>
      <c r="G43" s="62" t="s">
        <v>600</v>
      </c>
      <c r="H43" s="79" t="s">
        <v>1171</v>
      </c>
    </row>
    <row r="44" spans="1:8" s="114" customFormat="1" ht="39.6" x14ac:dyDescent="0.25">
      <c r="A44" s="77" t="s">
        <v>985</v>
      </c>
      <c r="B44" s="77" t="s">
        <v>1164</v>
      </c>
      <c r="C44" s="78" t="s">
        <v>526</v>
      </c>
      <c r="D44" s="77">
        <v>50</v>
      </c>
      <c r="E44" s="78" t="s">
        <v>1172</v>
      </c>
      <c r="F44" s="62" t="s">
        <v>1165</v>
      </c>
      <c r="G44" s="62" t="s">
        <v>601</v>
      </c>
      <c r="H44" s="79" t="s">
        <v>1166</v>
      </c>
    </row>
    <row r="45" spans="1:8" s="114" customFormat="1" ht="52.8" x14ac:dyDescent="0.25">
      <c r="A45" s="77" t="s">
        <v>985</v>
      </c>
      <c r="B45" s="77" t="s">
        <v>1164</v>
      </c>
      <c r="C45" s="78" t="s">
        <v>532</v>
      </c>
      <c r="D45" s="77">
        <v>92</v>
      </c>
      <c r="E45" s="78" t="s">
        <v>1208</v>
      </c>
      <c r="F45" s="62" t="s">
        <v>1232</v>
      </c>
      <c r="G45" s="62" t="s">
        <v>1212</v>
      </c>
      <c r="H45" s="79" t="s">
        <v>1213</v>
      </c>
    </row>
    <row r="46" spans="1:8" s="114" customFormat="1" ht="52.8" x14ac:dyDescent="0.25">
      <c r="A46" s="77" t="s">
        <v>985</v>
      </c>
      <c r="B46" s="77" t="s">
        <v>1164</v>
      </c>
      <c r="C46" s="78" t="s">
        <v>630</v>
      </c>
      <c r="D46" s="77">
        <v>24</v>
      </c>
      <c r="E46" s="78" t="s">
        <v>1172</v>
      </c>
      <c r="F46" s="62" t="s">
        <v>1205</v>
      </c>
      <c r="G46" s="62" t="s">
        <v>965</v>
      </c>
      <c r="H46" s="79" t="s">
        <v>1204</v>
      </c>
    </row>
    <row r="47" spans="1:8" s="114" customFormat="1" ht="66" x14ac:dyDescent="0.25">
      <c r="A47" s="77" t="s">
        <v>985</v>
      </c>
      <c r="B47" s="77" t="s">
        <v>1164</v>
      </c>
      <c r="C47" s="78" t="s">
        <v>630</v>
      </c>
      <c r="D47" s="77">
        <v>27</v>
      </c>
      <c r="E47" s="78" t="s">
        <v>998</v>
      </c>
      <c r="F47" s="62" t="s">
        <v>1231</v>
      </c>
      <c r="G47" s="62" t="s">
        <v>1117</v>
      </c>
      <c r="H47" s="79" t="s">
        <v>1228</v>
      </c>
    </row>
    <row r="48" spans="1:8" s="114" customFormat="1" ht="79.2" x14ac:dyDescent="0.25">
      <c r="A48" s="77" t="s">
        <v>985</v>
      </c>
      <c r="B48" s="77" t="s">
        <v>1164</v>
      </c>
      <c r="C48" s="78" t="s">
        <v>669</v>
      </c>
      <c r="D48" s="77" t="s">
        <v>1223</v>
      </c>
      <c r="E48" s="78" t="s">
        <v>998</v>
      </c>
      <c r="F48" s="62" t="s">
        <v>1233</v>
      </c>
      <c r="G48" s="62" t="s">
        <v>951</v>
      </c>
      <c r="H48" s="79" t="s">
        <v>1222</v>
      </c>
    </row>
    <row r="49" spans="1:8" s="114" customFormat="1" ht="79.2" x14ac:dyDescent="0.25">
      <c r="A49" s="77" t="s">
        <v>985</v>
      </c>
      <c r="B49" s="77" t="s">
        <v>1164</v>
      </c>
      <c r="C49" s="78" t="s">
        <v>461</v>
      </c>
      <c r="D49" s="77">
        <v>9</v>
      </c>
      <c r="E49" s="78" t="s">
        <v>998</v>
      </c>
      <c r="F49" s="62" t="s">
        <v>1230</v>
      </c>
      <c r="G49" s="62" t="s">
        <v>976</v>
      </c>
      <c r="H49" s="79" t="s">
        <v>1228</v>
      </c>
    </row>
    <row r="50" spans="1:8" s="114" customFormat="1" ht="52.8" x14ac:dyDescent="0.25">
      <c r="A50" s="77" t="s">
        <v>985</v>
      </c>
      <c r="B50" s="77" t="s">
        <v>1238</v>
      </c>
      <c r="C50" s="78" t="s">
        <v>669</v>
      </c>
      <c r="D50" s="77">
        <v>54</v>
      </c>
      <c r="E50" s="78" t="s">
        <v>998</v>
      </c>
      <c r="F50" s="62" t="s">
        <v>1239</v>
      </c>
      <c r="G50" s="62" t="s">
        <v>756</v>
      </c>
      <c r="H50" s="79" t="s">
        <v>1253</v>
      </c>
    </row>
    <row r="51" spans="1:8" s="114" customFormat="1" ht="79.2" x14ac:dyDescent="0.25">
      <c r="A51" s="77" t="s">
        <v>985</v>
      </c>
      <c r="B51" s="77" t="s">
        <v>1238</v>
      </c>
      <c r="C51" s="78" t="s">
        <v>526</v>
      </c>
      <c r="D51" s="77">
        <v>50</v>
      </c>
      <c r="E51" s="78" t="s">
        <v>1241</v>
      </c>
      <c r="F51" s="62" t="s">
        <v>1240</v>
      </c>
      <c r="G51" s="62" t="s">
        <v>1250</v>
      </c>
      <c r="H51" s="79" t="s">
        <v>1249</v>
      </c>
    </row>
    <row r="52" spans="1:8" s="114" customFormat="1" ht="66" x14ac:dyDescent="0.25">
      <c r="A52" s="77" t="s">
        <v>985</v>
      </c>
      <c r="B52" s="77" t="s">
        <v>1238</v>
      </c>
      <c r="C52" s="78" t="s">
        <v>526</v>
      </c>
      <c r="D52" s="77">
        <v>50</v>
      </c>
      <c r="E52" s="78" t="s">
        <v>998</v>
      </c>
      <c r="F52" s="62" t="s">
        <v>1243</v>
      </c>
      <c r="G52" s="62" t="s">
        <v>905</v>
      </c>
      <c r="H52" s="79" t="s">
        <v>1249</v>
      </c>
    </row>
    <row r="53" spans="1:8" s="114" customFormat="1" ht="52.8" x14ac:dyDescent="0.25">
      <c r="A53" s="77" t="s">
        <v>985</v>
      </c>
      <c r="B53" s="77" t="s">
        <v>1238</v>
      </c>
      <c r="C53" s="78" t="s">
        <v>526</v>
      </c>
      <c r="D53" s="77">
        <v>50</v>
      </c>
      <c r="E53" s="78" t="s">
        <v>997</v>
      </c>
      <c r="F53" s="62" t="s">
        <v>1242</v>
      </c>
      <c r="G53" s="62" t="s">
        <v>599</v>
      </c>
      <c r="H53" s="79" t="s">
        <v>1249</v>
      </c>
    </row>
    <row r="54" spans="1:8" s="114" customFormat="1" ht="52.8" x14ac:dyDescent="0.25">
      <c r="A54" s="77" t="s">
        <v>985</v>
      </c>
      <c r="B54" s="77" t="s">
        <v>1238</v>
      </c>
      <c r="C54" s="78" t="s">
        <v>526</v>
      </c>
      <c r="D54" s="77">
        <v>50</v>
      </c>
      <c r="E54" s="78" t="s">
        <v>1027</v>
      </c>
      <c r="F54" s="62" t="s">
        <v>1244</v>
      </c>
      <c r="G54" s="62" t="s">
        <v>1170</v>
      </c>
      <c r="H54" s="79" t="s">
        <v>1249</v>
      </c>
    </row>
    <row r="55" spans="1:8" s="114" customFormat="1" ht="52.8" x14ac:dyDescent="0.25">
      <c r="A55" s="77" t="s">
        <v>985</v>
      </c>
      <c r="B55" s="77" t="s">
        <v>1238</v>
      </c>
      <c r="C55" s="78" t="s">
        <v>526</v>
      </c>
      <c r="D55" s="77">
        <v>50</v>
      </c>
      <c r="E55" s="78" t="s">
        <v>1172</v>
      </c>
      <c r="F55" s="62" t="s">
        <v>1245</v>
      </c>
      <c r="G55" s="62" t="s">
        <v>1165</v>
      </c>
      <c r="H55" s="79" t="s">
        <v>1249</v>
      </c>
    </row>
    <row r="56" spans="1:8" s="114" customFormat="1" ht="52.8" x14ac:dyDescent="0.25">
      <c r="A56" s="64" t="s">
        <v>983</v>
      </c>
      <c r="B56" s="64" t="s">
        <v>1238</v>
      </c>
      <c r="C56" s="65" t="s">
        <v>526</v>
      </c>
      <c r="D56" s="64">
        <v>50</v>
      </c>
      <c r="E56" s="65" t="s">
        <v>1246</v>
      </c>
      <c r="F56" s="66" t="s">
        <v>1247</v>
      </c>
      <c r="G56" s="66" t="s">
        <v>1248</v>
      </c>
      <c r="H56" s="73" t="s">
        <v>1249</v>
      </c>
    </row>
    <row r="57" spans="1:8" s="114" customFormat="1" ht="92.4" x14ac:dyDescent="0.25">
      <c r="A57" s="77" t="s">
        <v>985</v>
      </c>
      <c r="B57" s="77" t="s">
        <v>1238</v>
      </c>
      <c r="C57" s="78">
        <v>20</v>
      </c>
      <c r="D57" s="77">
        <v>27</v>
      </c>
      <c r="E57" s="78" t="s">
        <v>998</v>
      </c>
      <c r="F57" s="62" t="s">
        <v>1280</v>
      </c>
      <c r="G57" s="62" t="s">
        <v>1231</v>
      </c>
      <c r="H57" s="79" t="s">
        <v>1254</v>
      </c>
    </row>
    <row r="58" spans="1:8" s="114" customFormat="1" ht="52.8" x14ac:dyDescent="0.25">
      <c r="A58" s="64" t="s">
        <v>983</v>
      </c>
      <c r="B58" s="64" t="s">
        <v>1238</v>
      </c>
      <c r="C58" s="65">
        <v>60</v>
      </c>
      <c r="D58" s="64">
        <v>9</v>
      </c>
      <c r="E58" s="65" t="s">
        <v>997</v>
      </c>
      <c r="F58" s="66" t="s">
        <v>1255</v>
      </c>
      <c r="G58" s="66" t="s">
        <v>1248</v>
      </c>
      <c r="H58" s="73" t="s">
        <v>1254</v>
      </c>
    </row>
    <row r="59" spans="1:8" s="114" customFormat="1" ht="79.2" x14ac:dyDescent="0.25">
      <c r="A59" s="77" t="s">
        <v>985</v>
      </c>
      <c r="B59" s="77" t="s">
        <v>1238</v>
      </c>
      <c r="C59" s="78">
        <v>30</v>
      </c>
      <c r="D59" s="77">
        <v>52</v>
      </c>
      <c r="E59" s="78" t="s">
        <v>998</v>
      </c>
      <c r="F59" s="62" t="s">
        <v>1279</v>
      </c>
      <c r="G59" s="62" t="s">
        <v>755</v>
      </c>
      <c r="H59" s="79" t="s">
        <v>1254</v>
      </c>
    </row>
    <row r="60" spans="1:8" s="114" customFormat="1" ht="26.4" x14ac:dyDescent="0.25">
      <c r="A60" s="77" t="s">
        <v>985</v>
      </c>
      <c r="B60" s="77" t="s">
        <v>1238</v>
      </c>
      <c r="C60" s="78">
        <v>20</v>
      </c>
      <c r="D60" s="77">
        <v>27</v>
      </c>
      <c r="E60" s="78" t="s">
        <v>525</v>
      </c>
      <c r="F60" s="62" t="s">
        <v>1281</v>
      </c>
      <c r="G60" s="62" t="s">
        <v>1108</v>
      </c>
      <c r="H60" s="79" t="s">
        <v>1283</v>
      </c>
    </row>
    <row r="61" spans="1:8" s="114" customFormat="1" ht="39.6" x14ac:dyDescent="0.25">
      <c r="A61" s="77" t="s">
        <v>985</v>
      </c>
      <c r="B61" s="77" t="s">
        <v>1238</v>
      </c>
      <c r="C61" s="78">
        <v>60</v>
      </c>
      <c r="D61" s="77">
        <v>9</v>
      </c>
      <c r="E61" s="78" t="s">
        <v>525</v>
      </c>
      <c r="F61" s="62" t="s">
        <v>1282</v>
      </c>
      <c r="G61" s="62" t="s">
        <v>1109</v>
      </c>
      <c r="H61" s="79" t="s">
        <v>1283</v>
      </c>
    </row>
  </sheetData>
  <autoFilter ref="A1:H49" xr:uid="{A7FBAD03-878E-4875-8EB9-3FB3E7306EEB}">
    <sortState xmlns:xlrd2="http://schemas.microsoft.com/office/spreadsheetml/2017/richdata2" ref="A2:H51">
      <sortCondition ref="B1:B40"/>
    </sortState>
  </autoFilter>
  <phoneticPr fontId="34" type="noConversion"/>
  <pageMargins left="0.511811024" right="0.511811024" top="0.78740157499999996" bottom="0.78740157499999996" header="0.31496062000000002" footer="0.31496062000000002"/>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3">
    <tabColor theme="3" tint="0.79998168889431442"/>
  </sheetPr>
  <dimension ref="A1:AMF58"/>
  <sheetViews>
    <sheetView showGridLines="0" zoomScaleNormal="100" workbookViewId="0">
      <pane ySplit="1" topLeftCell="A2" activePane="bottomLeft" state="frozen"/>
      <selection pane="bottomLeft" activeCell="D17" sqref="D17"/>
    </sheetView>
  </sheetViews>
  <sheetFormatPr defaultColWidth="9.109375" defaultRowHeight="13.2" x14ac:dyDescent="0.25"/>
  <cols>
    <col min="1" max="1" width="6.33203125" style="40" customWidth="1"/>
    <col min="2" max="2" width="63.109375" style="40" customWidth="1"/>
    <col min="3" max="4" width="29.109375" style="41" customWidth="1"/>
    <col min="5" max="7" width="11.33203125" style="40" customWidth="1"/>
    <col min="8" max="1017" width="17.6640625" style="40" customWidth="1"/>
    <col min="1018" max="16384" width="9.109375" style="1"/>
  </cols>
  <sheetData>
    <row r="1" spans="1:8" s="39" customFormat="1" ht="30" customHeight="1" x14ac:dyDescent="0.25">
      <c r="A1" s="35" t="s">
        <v>523</v>
      </c>
      <c r="B1" s="35" t="s">
        <v>0</v>
      </c>
      <c r="C1" s="35" t="s">
        <v>2</v>
      </c>
      <c r="D1" s="35" t="s">
        <v>3</v>
      </c>
      <c r="E1" s="36" t="s">
        <v>6</v>
      </c>
      <c r="F1" s="37" t="s">
        <v>7</v>
      </c>
      <c r="G1" s="38" t="s">
        <v>8</v>
      </c>
      <c r="H1" s="76" t="s">
        <v>1039</v>
      </c>
    </row>
    <row r="2" spans="1:8" ht="45" x14ac:dyDescent="0.25">
      <c r="A2" s="8">
        <v>1</v>
      </c>
      <c r="B2" s="8" t="s">
        <v>833</v>
      </c>
      <c r="C2" s="8" t="s">
        <v>617</v>
      </c>
      <c r="D2" s="8" t="s">
        <v>5</v>
      </c>
    </row>
    <row r="3" spans="1:8" ht="60" x14ac:dyDescent="0.25">
      <c r="A3" s="8">
        <v>2</v>
      </c>
      <c r="B3" s="8" t="s">
        <v>885</v>
      </c>
      <c r="C3" s="8" t="s">
        <v>617</v>
      </c>
      <c r="D3" s="8" t="s">
        <v>5</v>
      </c>
    </row>
    <row r="4" spans="1:8" ht="30" x14ac:dyDescent="0.25">
      <c r="A4" s="8">
        <v>3</v>
      </c>
      <c r="B4" s="8" t="s">
        <v>1051</v>
      </c>
      <c r="C4" s="8" t="s">
        <v>617</v>
      </c>
      <c r="D4" s="8" t="s">
        <v>5</v>
      </c>
    </row>
    <row r="5" spans="1:8" ht="30" x14ac:dyDescent="0.25">
      <c r="A5" s="8">
        <v>4</v>
      </c>
      <c r="B5" s="8" t="s">
        <v>834</v>
      </c>
      <c r="C5" s="8" t="s">
        <v>617</v>
      </c>
      <c r="D5" s="8" t="s">
        <v>5</v>
      </c>
    </row>
    <row r="6" spans="1:8" ht="30" x14ac:dyDescent="0.25">
      <c r="A6" s="8">
        <v>5</v>
      </c>
      <c r="B6" s="8" t="s">
        <v>1061</v>
      </c>
      <c r="C6" s="8" t="s">
        <v>617</v>
      </c>
      <c r="D6" s="8" t="s">
        <v>5</v>
      </c>
    </row>
    <row r="7" spans="1:8" ht="30" x14ac:dyDescent="0.25">
      <c r="A7" s="8">
        <v>6</v>
      </c>
      <c r="B7" s="8" t="s">
        <v>974</v>
      </c>
      <c r="C7" s="8" t="s">
        <v>617</v>
      </c>
      <c r="D7" s="8" t="s">
        <v>5</v>
      </c>
    </row>
    <row r="8" spans="1:8" ht="30" x14ac:dyDescent="0.25">
      <c r="A8" s="8">
        <v>7</v>
      </c>
      <c r="B8" s="8" t="s">
        <v>1104</v>
      </c>
      <c r="C8" s="8" t="s">
        <v>617</v>
      </c>
      <c r="D8" s="8" t="s">
        <v>5</v>
      </c>
    </row>
    <row r="9" spans="1:8" ht="30" x14ac:dyDescent="0.25">
      <c r="A9" s="8">
        <v>8</v>
      </c>
      <c r="B9" s="8" t="s">
        <v>836</v>
      </c>
      <c r="C9" s="8" t="s">
        <v>617</v>
      </c>
      <c r="D9" s="8" t="s">
        <v>5</v>
      </c>
    </row>
    <row r="10" spans="1:8" ht="30" x14ac:dyDescent="0.25">
      <c r="A10" s="8">
        <v>9</v>
      </c>
      <c r="B10" s="8" t="s">
        <v>837</v>
      </c>
      <c r="C10" s="8" t="s">
        <v>617</v>
      </c>
      <c r="D10" s="8" t="s">
        <v>5</v>
      </c>
    </row>
    <row r="11" spans="1:8" ht="30" x14ac:dyDescent="0.25">
      <c r="A11" s="8">
        <v>10</v>
      </c>
      <c r="B11" s="8" t="s">
        <v>979</v>
      </c>
      <c r="C11" s="8" t="s">
        <v>617</v>
      </c>
      <c r="D11" s="8" t="s">
        <v>5</v>
      </c>
    </row>
    <row r="12" spans="1:8" ht="45" x14ac:dyDescent="0.25">
      <c r="A12" s="8">
        <v>11</v>
      </c>
      <c r="B12" s="8" t="s">
        <v>838</v>
      </c>
      <c r="C12" s="8" t="s">
        <v>617</v>
      </c>
      <c r="D12" s="8" t="s">
        <v>5</v>
      </c>
    </row>
    <row r="13" spans="1:8" ht="30" x14ac:dyDescent="0.25">
      <c r="A13" s="8">
        <v>12</v>
      </c>
      <c r="B13" s="8" t="s">
        <v>839</v>
      </c>
      <c r="C13" s="8" t="s">
        <v>617</v>
      </c>
      <c r="D13" s="8" t="s">
        <v>5</v>
      </c>
    </row>
    <row r="14" spans="1:8" ht="45" x14ac:dyDescent="0.25">
      <c r="A14" s="8">
        <v>13</v>
      </c>
      <c r="B14" s="8" t="s">
        <v>840</v>
      </c>
      <c r="C14" s="8" t="s">
        <v>617</v>
      </c>
      <c r="D14" s="8" t="s">
        <v>5</v>
      </c>
    </row>
    <row r="15" spans="1:8" ht="45" x14ac:dyDescent="0.25">
      <c r="A15" s="8">
        <v>14</v>
      </c>
      <c r="B15" s="8" t="s">
        <v>841</v>
      </c>
      <c r="C15" s="8" t="s">
        <v>617</v>
      </c>
      <c r="D15" s="8" t="s">
        <v>5</v>
      </c>
    </row>
    <row r="16" spans="1:8" ht="45" x14ac:dyDescent="0.25">
      <c r="A16" s="8">
        <v>15</v>
      </c>
      <c r="B16" s="8" t="s">
        <v>842</v>
      </c>
      <c r="C16" s="8" t="s">
        <v>617</v>
      </c>
      <c r="D16" s="8" t="s">
        <v>5</v>
      </c>
    </row>
    <row r="17" spans="1:4" ht="45" x14ac:dyDescent="0.25">
      <c r="A17" s="8">
        <v>16</v>
      </c>
      <c r="B17" s="8" t="s">
        <v>843</v>
      </c>
      <c r="C17" s="8" t="s">
        <v>617</v>
      </c>
      <c r="D17" s="8" t="s">
        <v>5</v>
      </c>
    </row>
    <row r="18" spans="1:4" ht="45" x14ac:dyDescent="0.25">
      <c r="A18" s="8">
        <v>17</v>
      </c>
      <c r="B18" s="8" t="s">
        <v>844</v>
      </c>
      <c r="C18" s="8" t="s">
        <v>617</v>
      </c>
      <c r="D18" s="8" t="s">
        <v>5</v>
      </c>
    </row>
    <row r="19" spans="1:4" ht="45" x14ac:dyDescent="0.25">
      <c r="A19" s="8">
        <v>18</v>
      </c>
      <c r="B19" s="8" t="s">
        <v>845</v>
      </c>
      <c r="C19" s="8" t="s">
        <v>617</v>
      </c>
      <c r="D19" s="8" t="s">
        <v>5</v>
      </c>
    </row>
    <row r="20" spans="1:4" ht="45" x14ac:dyDescent="0.25">
      <c r="A20" s="8">
        <v>19</v>
      </c>
      <c r="B20" s="8" t="s">
        <v>846</v>
      </c>
      <c r="C20" s="8" t="s">
        <v>617</v>
      </c>
      <c r="D20" s="8" t="s">
        <v>5</v>
      </c>
    </row>
    <row r="21" spans="1:4" ht="45" x14ac:dyDescent="0.25">
      <c r="A21" s="8">
        <v>20</v>
      </c>
      <c r="B21" s="8" t="s">
        <v>847</v>
      </c>
      <c r="C21" s="8" t="s">
        <v>617</v>
      </c>
      <c r="D21" s="8" t="s">
        <v>5</v>
      </c>
    </row>
    <row r="22" spans="1:4" ht="30" x14ac:dyDescent="0.25">
      <c r="A22" s="8">
        <v>21</v>
      </c>
      <c r="B22" s="8" t="s">
        <v>848</v>
      </c>
      <c r="C22" s="8" t="s">
        <v>617</v>
      </c>
      <c r="D22" s="8" t="s">
        <v>5</v>
      </c>
    </row>
    <row r="23" spans="1:4" ht="60" x14ac:dyDescent="0.25">
      <c r="A23" s="8">
        <v>22</v>
      </c>
      <c r="B23" s="8" t="s">
        <v>863</v>
      </c>
      <c r="C23" s="8" t="s">
        <v>617</v>
      </c>
      <c r="D23" s="8" t="s">
        <v>5</v>
      </c>
    </row>
    <row r="24" spans="1:4" ht="30" x14ac:dyDescent="0.25">
      <c r="A24" s="8">
        <v>23</v>
      </c>
      <c r="B24" s="8" t="s">
        <v>864</v>
      </c>
      <c r="C24" s="8" t="s">
        <v>617</v>
      </c>
      <c r="D24" s="8" t="s">
        <v>5</v>
      </c>
    </row>
    <row r="25" spans="1:4" ht="30" x14ac:dyDescent="0.25">
      <c r="A25" s="8">
        <v>24</v>
      </c>
      <c r="B25" s="8" t="s">
        <v>865</v>
      </c>
      <c r="C25" s="8" t="s">
        <v>617</v>
      </c>
      <c r="D25" s="8" t="s">
        <v>5</v>
      </c>
    </row>
    <row r="26" spans="1:4" ht="105" x14ac:dyDescent="0.25">
      <c r="A26" s="8">
        <v>25</v>
      </c>
      <c r="B26" s="8" t="s">
        <v>849</v>
      </c>
      <c r="C26" s="8" t="s">
        <v>617</v>
      </c>
      <c r="D26" s="8" t="s">
        <v>5</v>
      </c>
    </row>
    <row r="27" spans="1:4" ht="45" x14ac:dyDescent="0.25">
      <c r="A27" s="8">
        <v>26</v>
      </c>
      <c r="B27" s="8" t="s">
        <v>850</v>
      </c>
      <c r="C27" s="8" t="s">
        <v>617</v>
      </c>
      <c r="D27" s="8" t="s">
        <v>5</v>
      </c>
    </row>
    <row r="28" spans="1:4" ht="45" x14ac:dyDescent="0.25">
      <c r="A28" s="8">
        <v>27</v>
      </c>
      <c r="B28" s="8" t="s">
        <v>851</v>
      </c>
      <c r="C28" s="8" t="s">
        <v>617</v>
      </c>
      <c r="D28" s="8" t="s">
        <v>5</v>
      </c>
    </row>
    <row r="29" spans="1:4" ht="45" x14ac:dyDescent="0.25">
      <c r="A29" s="8">
        <v>28</v>
      </c>
      <c r="B29" s="8" t="s">
        <v>852</v>
      </c>
      <c r="C29" s="8" t="s">
        <v>617</v>
      </c>
      <c r="D29" s="8" t="s">
        <v>5</v>
      </c>
    </row>
    <row r="30" spans="1:4" ht="225" x14ac:dyDescent="0.25">
      <c r="A30" s="8">
        <v>29</v>
      </c>
      <c r="B30" s="8" t="s">
        <v>853</v>
      </c>
      <c r="C30" s="8" t="s">
        <v>232</v>
      </c>
      <c r="D30" s="8" t="s">
        <v>672</v>
      </c>
    </row>
    <row r="31" spans="1:4" ht="75" x14ac:dyDescent="0.25">
      <c r="A31" s="8">
        <v>30</v>
      </c>
      <c r="B31" s="8" t="s">
        <v>854</v>
      </c>
      <c r="C31" s="8" t="s">
        <v>617</v>
      </c>
      <c r="D31" s="8" t="s">
        <v>5</v>
      </c>
    </row>
    <row r="32" spans="1:4" ht="60" x14ac:dyDescent="0.25">
      <c r="A32" s="8">
        <v>31</v>
      </c>
      <c r="B32" s="8" t="s">
        <v>855</v>
      </c>
      <c r="C32" s="8" t="s">
        <v>671</v>
      </c>
      <c r="D32" s="8" t="s">
        <v>672</v>
      </c>
    </row>
    <row r="33" spans="1:1020" ht="45" x14ac:dyDescent="0.25">
      <c r="A33" s="8">
        <v>32</v>
      </c>
      <c r="B33" s="8" t="s">
        <v>856</v>
      </c>
      <c r="C33" s="8" t="s">
        <v>671</v>
      </c>
      <c r="D33" s="8" t="s">
        <v>672</v>
      </c>
    </row>
    <row r="34" spans="1:1020" ht="60" x14ac:dyDescent="0.25">
      <c r="A34" s="8">
        <v>33</v>
      </c>
      <c r="B34" s="8" t="s">
        <v>857</v>
      </c>
      <c r="C34" s="8" t="s">
        <v>671</v>
      </c>
      <c r="D34" s="8" t="s">
        <v>672</v>
      </c>
    </row>
    <row r="35" spans="1:1020" ht="45" x14ac:dyDescent="0.25">
      <c r="A35" s="8">
        <v>34</v>
      </c>
      <c r="B35" s="8" t="s">
        <v>858</v>
      </c>
      <c r="C35" s="8" t="s">
        <v>671</v>
      </c>
      <c r="D35" s="8" t="s">
        <v>672</v>
      </c>
    </row>
    <row r="36" spans="1:1020" ht="75" x14ac:dyDescent="0.25">
      <c r="A36" s="8">
        <v>35</v>
      </c>
      <c r="B36" s="8" t="s">
        <v>859</v>
      </c>
      <c r="C36" s="8" t="s">
        <v>671</v>
      </c>
      <c r="D36" s="8" t="s">
        <v>672</v>
      </c>
    </row>
    <row r="37" spans="1:1020" ht="75" x14ac:dyDescent="0.25">
      <c r="A37" s="8">
        <v>36</v>
      </c>
      <c r="B37" s="8" t="s">
        <v>866</v>
      </c>
      <c r="C37" s="8" t="s">
        <v>671</v>
      </c>
      <c r="D37" s="8" t="s">
        <v>5</v>
      </c>
    </row>
    <row r="38" spans="1:1020" ht="60" x14ac:dyDescent="0.25">
      <c r="A38" s="8">
        <v>37</v>
      </c>
      <c r="B38" s="8" t="s">
        <v>862</v>
      </c>
      <c r="C38" s="8" t="s">
        <v>232</v>
      </c>
      <c r="D38" s="8"/>
    </row>
    <row r="39" spans="1:1020" ht="75" x14ac:dyDescent="0.25">
      <c r="A39" s="8">
        <v>38</v>
      </c>
      <c r="B39" s="8" t="s">
        <v>861</v>
      </c>
      <c r="C39" s="8" t="s">
        <v>232</v>
      </c>
      <c r="D39" s="8"/>
    </row>
    <row r="40" spans="1:1020" ht="75" x14ac:dyDescent="0.25">
      <c r="A40" s="8">
        <v>39</v>
      </c>
      <c r="B40" s="8" t="s">
        <v>860</v>
      </c>
      <c r="C40" s="8" t="s">
        <v>232</v>
      </c>
      <c r="D40" s="8"/>
    </row>
    <row r="41" spans="1:1020" ht="165" x14ac:dyDescent="0.25">
      <c r="A41" s="8">
        <v>40</v>
      </c>
      <c r="B41" s="8" t="s">
        <v>867</v>
      </c>
      <c r="C41" s="8" t="s">
        <v>232</v>
      </c>
      <c r="D41" s="8"/>
    </row>
    <row r="42" spans="1:1020" ht="60" x14ac:dyDescent="0.25">
      <c r="A42" s="8">
        <v>41</v>
      </c>
      <c r="B42" s="8" t="s">
        <v>1046</v>
      </c>
      <c r="C42" s="84" t="s">
        <v>1035</v>
      </c>
      <c r="D42" s="84" t="s">
        <v>1035</v>
      </c>
    </row>
    <row r="43" spans="1:1020" ht="105" x14ac:dyDescent="0.25">
      <c r="A43" s="8">
        <v>42</v>
      </c>
      <c r="B43" s="8" t="s">
        <v>1053</v>
      </c>
      <c r="C43" s="84" t="s">
        <v>1035</v>
      </c>
      <c r="D43" s="84" t="s">
        <v>1035</v>
      </c>
    </row>
    <row r="45" spans="1:1020" ht="17.399999999999999" x14ac:dyDescent="0.25">
      <c r="A45" s="151" t="s">
        <v>868</v>
      </c>
      <c r="B45" s="151"/>
      <c r="C45" s="151"/>
      <c r="D45" s="151"/>
      <c r="E45" s="151"/>
      <c r="F45" s="151"/>
      <c r="G45" s="151"/>
    </row>
    <row r="46" spans="1:1020" s="9" customFormat="1" ht="15.6" x14ac:dyDescent="0.25">
      <c r="A46" s="154" t="s">
        <v>569</v>
      </c>
      <c r="B46" s="155"/>
      <c r="C46" s="152"/>
      <c r="D46" s="153"/>
      <c r="E46" s="153"/>
      <c r="F46" s="153"/>
      <c r="G46" s="153"/>
      <c r="H46" s="153"/>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4"/>
      <c r="NA46" s="4"/>
      <c r="NB46" s="4"/>
      <c r="NC46" s="4"/>
      <c r="ND46" s="4"/>
      <c r="NE46" s="4"/>
      <c r="NF46" s="4"/>
      <c r="NG46" s="4"/>
      <c r="NH46" s="4"/>
      <c r="NI46" s="4"/>
      <c r="NJ46" s="4"/>
      <c r="NK46" s="4"/>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c r="PF46" s="4"/>
      <c r="PG46" s="4"/>
      <c r="PH46" s="4"/>
      <c r="PI46" s="4"/>
      <c r="PJ46" s="4"/>
      <c r="PK46" s="4"/>
      <c r="PL46" s="4"/>
      <c r="PM46" s="4"/>
      <c r="PN46" s="4"/>
      <c r="PO46" s="4"/>
      <c r="PP46" s="4"/>
      <c r="PQ46" s="4"/>
      <c r="PR46" s="4"/>
      <c r="PS46" s="4"/>
      <c r="PT46" s="4"/>
      <c r="PU46" s="4"/>
      <c r="PV46" s="4"/>
      <c r="PW46" s="4"/>
      <c r="PX46" s="4"/>
      <c r="PY46" s="4"/>
      <c r="PZ46" s="4"/>
      <c r="QA46" s="4"/>
      <c r="QB46" s="4"/>
      <c r="QC46" s="4"/>
      <c r="QD46" s="4"/>
      <c r="QE46" s="4"/>
      <c r="QF46" s="4"/>
      <c r="QG46" s="4"/>
      <c r="QH46" s="4"/>
      <c r="QI46" s="4"/>
      <c r="QJ46" s="4"/>
      <c r="QK46" s="4"/>
      <c r="QL46" s="4"/>
      <c r="QM46" s="4"/>
      <c r="QN46" s="4"/>
      <c r="QO46" s="4"/>
      <c r="QP46" s="4"/>
      <c r="QQ46" s="4"/>
      <c r="QR46" s="4"/>
      <c r="QS46" s="4"/>
      <c r="QT46" s="4"/>
      <c r="QU46" s="4"/>
      <c r="QV46" s="4"/>
      <c r="QW46" s="4"/>
      <c r="QX46" s="4"/>
      <c r="QY46" s="4"/>
      <c r="QZ46" s="4"/>
      <c r="RA46" s="4"/>
      <c r="RB46" s="4"/>
      <c r="RC46" s="4"/>
      <c r="RD46" s="4"/>
      <c r="RE46" s="4"/>
      <c r="RF46" s="4"/>
      <c r="RG46" s="4"/>
      <c r="RH46" s="4"/>
      <c r="RI46" s="4"/>
      <c r="RJ46" s="4"/>
      <c r="RK46" s="4"/>
      <c r="RL46" s="4"/>
      <c r="RM46" s="4"/>
      <c r="RN46" s="4"/>
      <c r="RO46" s="4"/>
      <c r="RP46" s="4"/>
      <c r="RQ46" s="4"/>
      <c r="RR46" s="4"/>
      <c r="RS46" s="4"/>
      <c r="RT46" s="4"/>
      <c r="RU46" s="4"/>
      <c r="RV46" s="4"/>
      <c r="RW46" s="4"/>
      <c r="RX46" s="4"/>
      <c r="RY46" s="4"/>
      <c r="RZ46" s="4"/>
      <c r="SA46" s="4"/>
      <c r="SB46" s="4"/>
      <c r="SC46" s="4"/>
      <c r="SD46" s="4"/>
      <c r="SE46" s="4"/>
      <c r="SF46" s="4"/>
      <c r="SG46" s="4"/>
      <c r="SH46" s="4"/>
      <c r="SI46" s="4"/>
      <c r="SJ46" s="4"/>
      <c r="SK46" s="4"/>
      <c r="SL46" s="4"/>
      <c r="SM46" s="4"/>
      <c r="SN46" s="4"/>
      <c r="SO46" s="4"/>
      <c r="SP46" s="4"/>
      <c r="SQ46" s="4"/>
      <c r="SR46" s="4"/>
      <c r="SS46" s="4"/>
      <c r="ST46" s="4"/>
      <c r="SU46" s="4"/>
      <c r="SV46" s="4"/>
      <c r="SW46" s="4"/>
      <c r="SX46" s="4"/>
      <c r="SY46" s="4"/>
      <c r="SZ46" s="4"/>
      <c r="TA46" s="4"/>
      <c r="TB46" s="4"/>
      <c r="TC46" s="4"/>
      <c r="TD46" s="4"/>
      <c r="TE46" s="4"/>
      <c r="TF46" s="4"/>
      <c r="TG46" s="4"/>
      <c r="TH46" s="4"/>
      <c r="TI46" s="4"/>
      <c r="TJ46" s="4"/>
      <c r="TK46" s="4"/>
      <c r="TL46" s="4"/>
      <c r="TM46" s="4"/>
      <c r="TN46" s="4"/>
      <c r="TO46" s="4"/>
      <c r="TP46" s="4"/>
      <c r="TQ46" s="4"/>
      <c r="TR46" s="4"/>
      <c r="TS46" s="4"/>
      <c r="TT46" s="4"/>
      <c r="TU46" s="4"/>
      <c r="TV46" s="4"/>
      <c r="TW46" s="4"/>
      <c r="TX46" s="4"/>
      <c r="TY46" s="4"/>
      <c r="TZ46" s="4"/>
      <c r="UA46" s="4"/>
      <c r="UB46" s="4"/>
      <c r="UC46" s="4"/>
      <c r="UD46" s="4"/>
      <c r="UE46" s="4"/>
      <c r="UF46" s="4"/>
      <c r="UG46" s="4"/>
      <c r="UH46" s="4"/>
      <c r="UI46" s="4"/>
      <c r="UJ46" s="4"/>
      <c r="UK46" s="4"/>
      <c r="UL46" s="4"/>
      <c r="UM46" s="4"/>
      <c r="UN46" s="4"/>
      <c r="UO46" s="4"/>
      <c r="UP46" s="4"/>
      <c r="UQ46" s="4"/>
      <c r="UR46" s="4"/>
      <c r="US46" s="4"/>
      <c r="UT46" s="4"/>
      <c r="UU46" s="4"/>
      <c r="UV46" s="4"/>
      <c r="UW46" s="4"/>
      <c r="UX46" s="4"/>
      <c r="UY46" s="4"/>
      <c r="UZ46" s="4"/>
      <c r="VA46" s="4"/>
      <c r="VB46" s="4"/>
      <c r="VC46" s="4"/>
      <c r="VD46" s="4"/>
      <c r="VE46" s="4"/>
      <c r="VF46" s="4"/>
      <c r="VG46" s="4"/>
      <c r="VH46" s="4"/>
      <c r="VI46" s="4"/>
      <c r="VJ46" s="4"/>
      <c r="VK46" s="4"/>
      <c r="VL46" s="4"/>
      <c r="VM46" s="4"/>
      <c r="VN46" s="4"/>
      <c r="VO46" s="4"/>
      <c r="VP46" s="4"/>
      <c r="VQ46" s="4"/>
      <c r="VR46" s="4"/>
      <c r="VS46" s="4"/>
      <c r="VT46" s="4"/>
      <c r="VU46" s="4"/>
      <c r="VV46" s="4"/>
      <c r="VW46" s="4"/>
      <c r="VX46" s="4"/>
      <c r="VY46" s="4"/>
      <c r="VZ46" s="4"/>
      <c r="WA46" s="4"/>
      <c r="WB46" s="4"/>
      <c r="WC46" s="4"/>
      <c r="WD46" s="4"/>
      <c r="WE46" s="4"/>
      <c r="WF46" s="4"/>
      <c r="WG46" s="4"/>
      <c r="WH46" s="4"/>
      <c r="WI46" s="4"/>
      <c r="WJ46" s="4"/>
      <c r="WK46" s="4"/>
      <c r="WL46" s="4"/>
      <c r="WM46" s="4"/>
      <c r="WN46" s="4"/>
      <c r="WO46" s="4"/>
      <c r="WP46" s="4"/>
      <c r="WQ46" s="4"/>
      <c r="WR46" s="4"/>
      <c r="WS46" s="4"/>
      <c r="WT46" s="4"/>
      <c r="WU46" s="4"/>
      <c r="WV46" s="4"/>
      <c r="WW46" s="4"/>
      <c r="WX46" s="4"/>
      <c r="WY46" s="4"/>
      <c r="WZ46" s="4"/>
      <c r="XA46" s="4"/>
      <c r="XB46" s="4"/>
      <c r="XC46" s="4"/>
      <c r="XD46" s="4"/>
      <c r="XE46" s="4"/>
      <c r="XF46" s="4"/>
      <c r="XG46" s="4"/>
      <c r="XH46" s="4"/>
      <c r="XI46" s="4"/>
      <c r="XJ46" s="4"/>
      <c r="XK46" s="4"/>
      <c r="XL46" s="4"/>
      <c r="XM46" s="4"/>
      <c r="XN46" s="4"/>
      <c r="XO46" s="4"/>
      <c r="XP46" s="4"/>
      <c r="XQ46" s="4"/>
      <c r="XR46" s="4"/>
      <c r="XS46" s="4"/>
      <c r="XT46" s="4"/>
      <c r="XU46" s="4"/>
      <c r="XV46" s="4"/>
      <c r="XW46" s="4"/>
      <c r="XX46" s="4"/>
      <c r="XY46" s="4"/>
      <c r="XZ46" s="4"/>
      <c r="YA46" s="4"/>
      <c r="YB46" s="4"/>
      <c r="YC46" s="4"/>
      <c r="YD46" s="4"/>
      <c r="YE46" s="4"/>
      <c r="YF46" s="4"/>
      <c r="YG46" s="4"/>
      <c r="YH46" s="4"/>
      <c r="YI46" s="4"/>
      <c r="YJ46" s="4"/>
      <c r="YK46" s="4"/>
      <c r="YL46" s="4"/>
      <c r="YM46" s="4"/>
      <c r="YN46" s="4"/>
      <c r="YO46" s="4"/>
      <c r="YP46" s="4"/>
      <c r="YQ46" s="4"/>
      <c r="YR46" s="4"/>
      <c r="YS46" s="4"/>
      <c r="YT46" s="4"/>
      <c r="YU46" s="4"/>
      <c r="YV46" s="4"/>
      <c r="YW46" s="4"/>
      <c r="YX46" s="4"/>
      <c r="YY46" s="4"/>
      <c r="YZ46" s="4"/>
      <c r="ZA46" s="4"/>
      <c r="ZB46" s="4"/>
      <c r="ZC46" s="4"/>
      <c r="ZD46" s="4"/>
      <c r="ZE46" s="4"/>
      <c r="ZF46" s="4"/>
      <c r="ZG46" s="4"/>
      <c r="ZH46" s="4"/>
      <c r="ZI46" s="4"/>
      <c r="ZJ46" s="4"/>
      <c r="ZK46" s="4"/>
      <c r="ZL46" s="4"/>
      <c r="ZM46" s="4"/>
      <c r="ZN46" s="4"/>
      <c r="ZO46" s="4"/>
      <c r="ZP46" s="4"/>
      <c r="ZQ46" s="4"/>
      <c r="ZR46" s="4"/>
      <c r="ZS46" s="4"/>
      <c r="ZT46" s="4"/>
      <c r="ZU46" s="4"/>
      <c r="ZV46" s="4"/>
      <c r="ZW46" s="4"/>
      <c r="ZX46" s="4"/>
      <c r="ZY46" s="4"/>
      <c r="ZZ46" s="4"/>
      <c r="AAA46" s="4"/>
      <c r="AAB46" s="4"/>
      <c r="AAC46" s="4"/>
      <c r="AAD46" s="4"/>
      <c r="AAE46" s="4"/>
      <c r="AAF46" s="4"/>
      <c r="AAG46" s="4"/>
      <c r="AAH46" s="4"/>
      <c r="AAI46" s="4"/>
      <c r="AAJ46" s="4"/>
      <c r="AAK46" s="4"/>
      <c r="AAL46" s="4"/>
      <c r="AAM46" s="4"/>
      <c r="AAN46" s="4"/>
      <c r="AAO46" s="4"/>
      <c r="AAP46" s="4"/>
      <c r="AAQ46" s="4"/>
      <c r="AAR46" s="4"/>
      <c r="AAS46" s="4"/>
      <c r="AAT46" s="4"/>
      <c r="AAU46" s="4"/>
      <c r="AAV46" s="4"/>
      <c r="AAW46" s="4"/>
      <c r="AAX46" s="4"/>
      <c r="AAY46" s="4"/>
      <c r="AAZ46" s="4"/>
      <c r="ABA46" s="4"/>
      <c r="ABB46" s="4"/>
      <c r="ABC46" s="4"/>
      <c r="ABD46" s="4"/>
      <c r="ABE46" s="4"/>
      <c r="ABF46" s="4"/>
      <c r="ABG46" s="4"/>
      <c r="ABH46" s="4"/>
      <c r="ABI46" s="4"/>
      <c r="ABJ46" s="4"/>
      <c r="ABK46" s="4"/>
      <c r="ABL46" s="4"/>
      <c r="ABM46" s="4"/>
      <c r="ABN46" s="4"/>
      <c r="ABO46" s="4"/>
      <c r="ABP46" s="4"/>
      <c r="ABQ46" s="4"/>
      <c r="ABR46" s="4"/>
      <c r="ABS46" s="4"/>
      <c r="ABT46" s="4"/>
      <c r="ABU46" s="4"/>
      <c r="ABV46" s="4"/>
      <c r="ABW46" s="4"/>
      <c r="ABX46" s="4"/>
      <c r="ABY46" s="4"/>
      <c r="ABZ46" s="4"/>
      <c r="ACA46" s="4"/>
      <c r="ACB46" s="4"/>
      <c r="ACC46" s="4"/>
      <c r="ACD46" s="4"/>
      <c r="ACE46" s="4"/>
      <c r="ACF46" s="4"/>
      <c r="ACG46" s="4"/>
      <c r="ACH46" s="4"/>
      <c r="ACI46" s="4"/>
      <c r="ACJ46" s="4"/>
      <c r="ACK46" s="4"/>
      <c r="ACL46" s="4"/>
      <c r="ACM46" s="4"/>
      <c r="ACN46" s="4"/>
      <c r="ACO46" s="4"/>
      <c r="ACP46" s="4"/>
      <c r="ACQ46" s="4"/>
      <c r="ACR46" s="4"/>
      <c r="ACS46" s="4"/>
      <c r="ACT46" s="4"/>
      <c r="ACU46" s="4"/>
      <c r="ACV46" s="4"/>
      <c r="ACW46" s="4"/>
      <c r="ACX46" s="4"/>
      <c r="ACY46" s="4"/>
      <c r="ACZ46" s="4"/>
      <c r="ADA46" s="4"/>
      <c r="ADB46" s="4"/>
      <c r="ADC46" s="4"/>
      <c r="ADD46" s="4"/>
      <c r="ADE46" s="4"/>
      <c r="ADF46" s="4"/>
      <c r="ADG46" s="4"/>
      <c r="ADH46" s="4"/>
      <c r="ADI46" s="4"/>
      <c r="ADJ46" s="4"/>
      <c r="ADK46" s="4"/>
      <c r="ADL46" s="4"/>
      <c r="ADM46" s="4"/>
      <c r="ADN46" s="4"/>
      <c r="ADO46" s="4"/>
      <c r="ADP46" s="4"/>
      <c r="ADQ46" s="4"/>
      <c r="ADR46" s="4"/>
      <c r="ADS46" s="4"/>
      <c r="ADT46" s="4"/>
      <c r="ADU46" s="4"/>
      <c r="ADV46" s="4"/>
      <c r="ADW46" s="4"/>
      <c r="ADX46" s="4"/>
      <c r="ADY46" s="4"/>
      <c r="ADZ46" s="4"/>
      <c r="AEA46" s="4"/>
      <c r="AEB46" s="4"/>
      <c r="AEC46" s="4"/>
      <c r="AED46" s="4"/>
      <c r="AEE46" s="4"/>
      <c r="AEF46" s="4"/>
      <c r="AEG46" s="4"/>
      <c r="AEH46" s="4"/>
      <c r="AEI46" s="4"/>
      <c r="AEJ46" s="4"/>
      <c r="AEK46" s="4"/>
      <c r="AEL46" s="4"/>
      <c r="AEM46" s="4"/>
      <c r="AEN46" s="4"/>
      <c r="AEO46" s="4"/>
      <c r="AEP46" s="4"/>
      <c r="AEQ46" s="4"/>
      <c r="AER46" s="4"/>
      <c r="AES46" s="4"/>
      <c r="AET46" s="4"/>
      <c r="AEU46" s="4"/>
      <c r="AEV46" s="4"/>
      <c r="AEW46" s="4"/>
      <c r="AEX46" s="4"/>
      <c r="AEY46" s="4"/>
      <c r="AEZ46" s="4"/>
      <c r="AFA46" s="4"/>
      <c r="AFB46" s="4"/>
      <c r="AFC46" s="4"/>
      <c r="AFD46" s="4"/>
      <c r="AFE46" s="4"/>
      <c r="AFF46" s="4"/>
      <c r="AFG46" s="4"/>
      <c r="AFH46" s="4"/>
      <c r="AFI46" s="4"/>
      <c r="AFJ46" s="4"/>
      <c r="AFK46" s="4"/>
      <c r="AFL46" s="4"/>
      <c r="AFM46" s="4"/>
      <c r="AFN46" s="4"/>
      <c r="AFO46" s="4"/>
      <c r="AFP46" s="4"/>
      <c r="AFQ46" s="4"/>
      <c r="AFR46" s="4"/>
      <c r="AFS46" s="4"/>
      <c r="AFT46" s="4"/>
      <c r="AFU46" s="4"/>
      <c r="AFV46" s="4"/>
      <c r="AFW46" s="4"/>
      <c r="AFX46" s="4"/>
      <c r="AFY46" s="4"/>
      <c r="AFZ46" s="4"/>
      <c r="AGA46" s="4"/>
      <c r="AGB46" s="4"/>
      <c r="AGC46" s="4"/>
      <c r="AGD46" s="4"/>
      <c r="AGE46" s="4"/>
      <c r="AGF46" s="4"/>
      <c r="AGG46" s="4"/>
      <c r="AGH46" s="4"/>
      <c r="AGI46" s="4"/>
      <c r="AGJ46" s="4"/>
      <c r="AGK46" s="4"/>
      <c r="AGL46" s="4"/>
      <c r="AGM46" s="4"/>
      <c r="AGN46" s="4"/>
      <c r="AGO46" s="4"/>
      <c r="AGP46" s="4"/>
      <c r="AGQ46" s="4"/>
      <c r="AGR46" s="4"/>
      <c r="AGS46" s="4"/>
      <c r="AGT46" s="4"/>
      <c r="AGU46" s="4"/>
      <c r="AGV46" s="4"/>
      <c r="AGW46" s="4"/>
      <c r="AGX46" s="4"/>
      <c r="AGY46" s="4"/>
      <c r="AGZ46" s="4"/>
      <c r="AHA46" s="4"/>
      <c r="AHB46" s="4"/>
      <c r="AHC46" s="4"/>
      <c r="AHD46" s="4"/>
      <c r="AHE46" s="4"/>
      <c r="AHF46" s="4"/>
      <c r="AHG46" s="4"/>
      <c r="AHH46" s="4"/>
      <c r="AHI46" s="4"/>
      <c r="AHJ46" s="4"/>
      <c r="AHK46" s="4"/>
      <c r="AHL46" s="4"/>
      <c r="AHM46" s="4"/>
      <c r="AHN46" s="4"/>
      <c r="AHO46" s="4"/>
      <c r="AHP46" s="4"/>
      <c r="AHQ46" s="4"/>
      <c r="AHR46" s="4"/>
      <c r="AHS46" s="4"/>
      <c r="AHT46" s="4"/>
      <c r="AHU46" s="4"/>
      <c r="AHV46" s="4"/>
      <c r="AHW46" s="4"/>
      <c r="AHX46" s="4"/>
      <c r="AHY46" s="4"/>
      <c r="AHZ46" s="4"/>
      <c r="AIA46" s="4"/>
      <c r="AIB46" s="4"/>
      <c r="AIC46" s="4"/>
      <c r="AID46" s="4"/>
      <c r="AIE46" s="4"/>
      <c r="AIF46" s="4"/>
      <c r="AIG46" s="4"/>
      <c r="AIH46" s="4"/>
      <c r="AII46" s="4"/>
      <c r="AIJ46" s="4"/>
      <c r="AIK46" s="4"/>
      <c r="AIL46" s="4"/>
      <c r="AIM46" s="4"/>
      <c r="AIN46" s="4"/>
      <c r="AIO46" s="4"/>
      <c r="AIP46" s="4"/>
      <c r="AIQ46" s="4"/>
      <c r="AIR46" s="4"/>
      <c r="AIS46" s="4"/>
      <c r="AIT46" s="4"/>
      <c r="AIU46" s="4"/>
      <c r="AIV46" s="4"/>
      <c r="AIW46" s="4"/>
      <c r="AIX46" s="4"/>
      <c r="AIY46" s="4"/>
      <c r="AIZ46" s="4"/>
      <c r="AJA46" s="4"/>
      <c r="AJB46" s="4"/>
      <c r="AJC46" s="4"/>
      <c r="AJD46" s="4"/>
      <c r="AJE46" s="4"/>
      <c r="AJF46" s="4"/>
      <c r="AJG46" s="4"/>
      <c r="AJH46" s="4"/>
      <c r="AJI46" s="4"/>
      <c r="AJJ46" s="4"/>
      <c r="AJK46" s="4"/>
      <c r="AJL46" s="4"/>
      <c r="AJM46" s="4"/>
      <c r="AJN46" s="4"/>
      <c r="AJO46" s="4"/>
      <c r="AJP46" s="4"/>
      <c r="AJQ46" s="4"/>
      <c r="AJR46" s="4"/>
      <c r="AJS46" s="4"/>
      <c r="AJT46" s="4"/>
      <c r="AJU46" s="4"/>
      <c r="AJV46" s="4"/>
      <c r="AJW46" s="4"/>
      <c r="AJX46" s="4"/>
      <c r="AJY46" s="4"/>
      <c r="AJZ46" s="4"/>
      <c r="AKA46" s="4"/>
      <c r="AKB46" s="4"/>
      <c r="AKC46" s="4"/>
      <c r="AKD46" s="4"/>
      <c r="AKE46" s="4"/>
      <c r="AKF46" s="4"/>
      <c r="AKG46" s="4"/>
      <c r="AKH46" s="4"/>
      <c r="AKI46" s="4"/>
      <c r="AKJ46" s="4"/>
      <c r="AKK46" s="4"/>
      <c r="AKL46" s="4"/>
      <c r="AKM46" s="4"/>
      <c r="AKN46" s="4"/>
      <c r="AKO46" s="4"/>
      <c r="AKP46" s="4"/>
      <c r="AKQ46" s="4"/>
      <c r="AKR46" s="4"/>
      <c r="AKS46" s="4"/>
      <c r="AKT46" s="4"/>
      <c r="AKU46" s="4"/>
      <c r="AKV46" s="4"/>
      <c r="AKW46" s="4"/>
      <c r="AKX46" s="4"/>
      <c r="AKY46" s="4"/>
      <c r="AKZ46" s="4"/>
      <c r="ALA46" s="4"/>
      <c r="ALB46" s="4"/>
      <c r="ALC46" s="4"/>
      <c r="ALD46" s="4"/>
      <c r="ALE46" s="4"/>
      <c r="ALF46" s="4"/>
      <c r="ALG46" s="4"/>
      <c r="ALH46" s="4"/>
      <c r="ALI46" s="4"/>
      <c r="ALJ46" s="4"/>
      <c r="ALK46" s="4"/>
      <c r="ALL46" s="4"/>
      <c r="ALM46" s="4"/>
      <c r="ALN46" s="4"/>
      <c r="ALO46" s="4"/>
      <c r="ALP46" s="4"/>
      <c r="ALQ46" s="4"/>
      <c r="ALR46" s="4"/>
      <c r="ALS46" s="4"/>
      <c r="ALT46" s="4"/>
      <c r="ALU46" s="4"/>
      <c r="ALV46" s="4"/>
      <c r="ALW46" s="4"/>
      <c r="ALX46" s="4"/>
      <c r="ALY46" s="4"/>
      <c r="ALZ46" s="4"/>
      <c r="AMA46" s="4"/>
      <c r="AMB46" s="4"/>
      <c r="AMC46" s="4"/>
      <c r="AMD46" s="4"/>
      <c r="AME46" s="4"/>
      <c r="AMF46" s="4"/>
    </row>
    <row r="47" spans="1:1020" s="9" customFormat="1" ht="36" customHeight="1" x14ac:dyDescent="0.25">
      <c r="A47" s="147" t="s">
        <v>524</v>
      </c>
      <c r="B47" s="147"/>
      <c r="C47" s="148" t="s">
        <v>1139</v>
      </c>
      <c r="D47" s="149"/>
      <c r="E47" s="149"/>
      <c r="F47" s="149"/>
      <c r="G47" s="149"/>
      <c r="H47" s="150"/>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4"/>
      <c r="NA47" s="4"/>
      <c r="NB47" s="4"/>
      <c r="NC47" s="4"/>
      <c r="ND47" s="4"/>
      <c r="NE47" s="4"/>
      <c r="NF47" s="4"/>
      <c r="NG47" s="4"/>
      <c r="NH47" s="4"/>
      <c r="NI47" s="4"/>
      <c r="NJ47" s="4"/>
      <c r="NK47" s="4"/>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c r="PF47" s="4"/>
      <c r="PG47" s="4"/>
      <c r="PH47" s="4"/>
      <c r="PI47" s="4"/>
      <c r="PJ47" s="4"/>
      <c r="PK47" s="4"/>
      <c r="PL47" s="4"/>
      <c r="PM47" s="4"/>
      <c r="PN47" s="4"/>
      <c r="PO47" s="4"/>
      <c r="PP47" s="4"/>
      <c r="PQ47" s="4"/>
      <c r="PR47" s="4"/>
      <c r="PS47" s="4"/>
      <c r="PT47" s="4"/>
      <c r="PU47" s="4"/>
      <c r="PV47" s="4"/>
      <c r="PW47" s="4"/>
      <c r="PX47" s="4"/>
      <c r="PY47" s="4"/>
      <c r="PZ47" s="4"/>
      <c r="QA47" s="4"/>
      <c r="QB47" s="4"/>
      <c r="QC47" s="4"/>
      <c r="QD47" s="4"/>
      <c r="QE47" s="4"/>
      <c r="QF47" s="4"/>
      <c r="QG47" s="4"/>
      <c r="QH47" s="4"/>
      <c r="QI47" s="4"/>
      <c r="QJ47" s="4"/>
      <c r="QK47" s="4"/>
      <c r="QL47" s="4"/>
      <c r="QM47" s="4"/>
      <c r="QN47" s="4"/>
      <c r="QO47" s="4"/>
      <c r="QP47" s="4"/>
      <c r="QQ47" s="4"/>
      <c r="QR47" s="4"/>
      <c r="QS47" s="4"/>
      <c r="QT47" s="4"/>
      <c r="QU47" s="4"/>
      <c r="QV47" s="4"/>
      <c r="QW47" s="4"/>
      <c r="QX47" s="4"/>
      <c r="QY47" s="4"/>
      <c r="QZ47" s="4"/>
      <c r="RA47" s="4"/>
      <c r="RB47" s="4"/>
      <c r="RC47" s="4"/>
      <c r="RD47" s="4"/>
      <c r="RE47" s="4"/>
      <c r="RF47" s="4"/>
      <c r="RG47" s="4"/>
      <c r="RH47" s="4"/>
      <c r="RI47" s="4"/>
      <c r="RJ47" s="4"/>
      <c r="RK47" s="4"/>
      <c r="RL47" s="4"/>
      <c r="RM47" s="4"/>
      <c r="RN47" s="4"/>
      <c r="RO47" s="4"/>
      <c r="RP47" s="4"/>
      <c r="RQ47" s="4"/>
      <c r="RR47" s="4"/>
      <c r="RS47" s="4"/>
      <c r="RT47" s="4"/>
      <c r="RU47" s="4"/>
      <c r="RV47" s="4"/>
      <c r="RW47" s="4"/>
      <c r="RX47" s="4"/>
      <c r="RY47" s="4"/>
      <c r="RZ47" s="4"/>
      <c r="SA47" s="4"/>
      <c r="SB47" s="4"/>
      <c r="SC47" s="4"/>
      <c r="SD47" s="4"/>
      <c r="SE47" s="4"/>
      <c r="SF47" s="4"/>
      <c r="SG47" s="4"/>
      <c r="SH47" s="4"/>
      <c r="SI47" s="4"/>
      <c r="SJ47" s="4"/>
      <c r="SK47" s="4"/>
      <c r="SL47" s="4"/>
      <c r="SM47" s="4"/>
      <c r="SN47" s="4"/>
      <c r="SO47" s="4"/>
      <c r="SP47" s="4"/>
      <c r="SQ47" s="4"/>
      <c r="SR47" s="4"/>
      <c r="SS47" s="4"/>
      <c r="ST47" s="4"/>
      <c r="SU47" s="4"/>
      <c r="SV47" s="4"/>
      <c r="SW47" s="4"/>
      <c r="SX47" s="4"/>
      <c r="SY47" s="4"/>
      <c r="SZ47" s="4"/>
      <c r="TA47" s="4"/>
      <c r="TB47" s="4"/>
      <c r="TC47" s="4"/>
      <c r="TD47" s="4"/>
      <c r="TE47" s="4"/>
      <c r="TF47" s="4"/>
      <c r="TG47" s="4"/>
      <c r="TH47" s="4"/>
      <c r="TI47" s="4"/>
      <c r="TJ47" s="4"/>
      <c r="TK47" s="4"/>
      <c r="TL47" s="4"/>
      <c r="TM47" s="4"/>
      <c r="TN47" s="4"/>
      <c r="TO47" s="4"/>
      <c r="TP47" s="4"/>
      <c r="TQ47" s="4"/>
      <c r="TR47" s="4"/>
      <c r="TS47" s="4"/>
      <c r="TT47" s="4"/>
      <c r="TU47" s="4"/>
      <c r="TV47" s="4"/>
      <c r="TW47" s="4"/>
      <c r="TX47" s="4"/>
      <c r="TY47" s="4"/>
      <c r="TZ47" s="4"/>
      <c r="UA47" s="4"/>
      <c r="UB47" s="4"/>
      <c r="UC47" s="4"/>
      <c r="UD47" s="4"/>
      <c r="UE47" s="4"/>
      <c r="UF47" s="4"/>
      <c r="UG47" s="4"/>
      <c r="UH47" s="4"/>
      <c r="UI47" s="4"/>
      <c r="UJ47" s="4"/>
      <c r="UK47" s="4"/>
      <c r="UL47" s="4"/>
      <c r="UM47" s="4"/>
      <c r="UN47" s="4"/>
      <c r="UO47" s="4"/>
      <c r="UP47" s="4"/>
      <c r="UQ47" s="4"/>
      <c r="UR47" s="4"/>
      <c r="US47" s="4"/>
      <c r="UT47" s="4"/>
      <c r="UU47" s="4"/>
      <c r="UV47" s="4"/>
      <c r="UW47" s="4"/>
      <c r="UX47" s="4"/>
      <c r="UY47" s="4"/>
      <c r="UZ47" s="4"/>
      <c r="VA47" s="4"/>
      <c r="VB47" s="4"/>
      <c r="VC47" s="4"/>
      <c r="VD47" s="4"/>
      <c r="VE47" s="4"/>
      <c r="VF47" s="4"/>
      <c r="VG47" s="4"/>
      <c r="VH47" s="4"/>
      <c r="VI47" s="4"/>
      <c r="VJ47" s="4"/>
      <c r="VK47" s="4"/>
      <c r="VL47" s="4"/>
      <c r="VM47" s="4"/>
      <c r="VN47" s="4"/>
      <c r="VO47" s="4"/>
      <c r="VP47" s="4"/>
      <c r="VQ47" s="4"/>
      <c r="VR47" s="4"/>
      <c r="VS47" s="4"/>
      <c r="VT47" s="4"/>
      <c r="VU47" s="4"/>
      <c r="VV47" s="4"/>
      <c r="VW47" s="4"/>
      <c r="VX47" s="4"/>
      <c r="VY47" s="4"/>
      <c r="VZ47" s="4"/>
      <c r="WA47" s="4"/>
      <c r="WB47" s="4"/>
      <c r="WC47" s="4"/>
      <c r="WD47" s="4"/>
      <c r="WE47" s="4"/>
      <c r="WF47" s="4"/>
      <c r="WG47" s="4"/>
      <c r="WH47" s="4"/>
      <c r="WI47" s="4"/>
      <c r="WJ47" s="4"/>
      <c r="WK47" s="4"/>
      <c r="WL47" s="4"/>
      <c r="WM47" s="4"/>
      <c r="WN47" s="4"/>
      <c r="WO47" s="4"/>
      <c r="WP47" s="4"/>
      <c r="WQ47" s="4"/>
      <c r="WR47" s="4"/>
      <c r="WS47" s="4"/>
      <c r="WT47" s="4"/>
      <c r="WU47" s="4"/>
      <c r="WV47" s="4"/>
      <c r="WW47" s="4"/>
      <c r="WX47" s="4"/>
      <c r="WY47" s="4"/>
      <c r="WZ47" s="4"/>
      <c r="XA47" s="4"/>
      <c r="XB47" s="4"/>
      <c r="XC47" s="4"/>
      <c r="XD47" s="4"/>
      <c r="XE47" s="4"/>
      <c r="XF47" s="4"/>
      <c r="XG47" s="4"/>
      <c r="XH47" s="4"/>
      <c r="XI47" s="4"/>
      <c r="XJ47" s="4"/>
      <c r="XK47" s="4"/>
      <c r="XL47" s="4"/>
      <c r="XM47" s="4"/>
      <c r="XN47" s="4"/>
      <c r="XO47" s="4"/>
      <c r="XP47" s="4"/>
      <c r="XQ47" s="4"/>
      <c r="XR47" s="4"/>
      <c r="XS47" s="4"/>
      <c r="XT47" s="4"/>
      <c r="XU47" s="4"/>
      <c r="XV47" s="4"/>
      <c r="XW47" s="4"/>
      <c r="XX47" s="4"/>
      <c r="XY47" s="4"/>
      <c r="XZ47" s="4"/>
      <c r="YA47" s="4"/>
      <c r="YB47" s="4"/>
      <c r="YC47" s="4"/>
      <c r="YD47" s="4"/>
      <c r="YE47" s="4"/>
      <c r="YF47" s="4"/>
      <c r="YG47" s="4"/>
      <c r="YH47" s="4"/>
      <c r="YI47" s="4"/>
      <c r="YJ47" s="4"/>
      <c r="YK47" s="4"/>
      <c r="YL47" s="4"/>
      <c r="YM47" s="4"/>
      <c r="YN47" s="4"/>
      <c r="YO47" s="4"/>
      <c r="YP47" s="4"/>
      <c r="YQ47" s="4"/>
      <c r="YR47" s="4"/>
      <c r="YS47" s="4"/>
      <c r="YT47" s="4"/>
      <c r="YU47" s="4"/>
      <c r="YV47" s="4"/>
      <c r="YW47" s="4"/>
      <c r="YX47" s="4"/>
      <c r="YY47" s="4"/>
      <c r="YZ47" s="4"/>
      <c r="ZA47" s="4"/>
      <c r="ZB47" s="4"/>
      <c r="ZC47" s="4"/>
      <c r="ZD47" s="4"/>
      <c r="ZE47" s="4"/>
      <c r="ZF47" s="4"/>
      <c r="ZG47" s="4"/>
      <c r="ZH47" s="4"/>
      <c r="ZI47" s="4"/>
      <c r="ZJ47" s="4"/>
      <c r="ZK47" s="4"/>
      <c r="ZL47" s="4"/>
      <c r="ZM47" s="4"/>
      <c r="ZN47" s="4"/>
      <c r="ZO47" s="4"/>
      <c r="ZP47" s="4"/>
      <c r="ZQ47" s="4"/>
      <c r="ZR47" s="4"/>
      <c r="ZS47" s="4"/>
      <c r="ZT47" s="4"/>
      <c r="ZU47" s="4"/>
      <c r="ZV47" s="4"/>
      <c r="ZW47" s="4"/>
      <c r="ZX47" s="4"/>
      <c r="ZY47" s="4"/>
      <c r="ZZ47" s="4"/>
      <c r="AAA47" s="4"/>
      <c r="AAB47" s="4"/>
      <c r="AAC47" s="4"/>
      <c r="AAD47" s="4"/>
      <c r="AAE47" s="4"/>
      <c r="AAF47" s="4"/>
      <c r="AAG47" s="4"/>
      <c r="AAH47" s="4"/>
      <c r="AAI47" s="4"/>
      <c r="AAJ47" s="4"/>
      <c r="AAK47" s="4"/>
      <c r="AAL47" s="4"/>
      <c r="AAM47" s="4"/>
      <c r="AAN47" s="4"/>
      <c r="AAO47" s="4"/>
      <c r="AAP47" s="4"/>
      <c r="AAQ47" s="4"/>
      <c r="AAR47" s="4"/>
      <c r="AAS47" s="4"/>
      <c r="AAT47" s="4"/>
      <c r="AAU47" s="4"/>
      <c r="AAV47" s="4"/>
      <c r="AAW47" s="4"/>
      <c r="AAX47" s="4"/>
      <c r="AAY47" s="4"/>
      <c r="AAZ47" s="4"/>
      <c r="ABA47" s="4"/>
      <c r="ABB47" s="4"/>
      <c r="ABC47" s="4"/>
      <c r="ABD47" s="4"/>
      <c r="ABE47" s="4"/>
      <c r="ABF47" s="4"/>
      <c r="ABG47" s="4"/>
      <c r="ABH47" s="4"/>
      <c r="ABI47" s="4"/>
      <c r="ABJ47" s="4"/>
      <c r="ABK47" s="4"/>
      <c r="ABL47" s="4"/>
      <c r="ABM47" s="4"/>
      <c r="ABN47" s="4"/>
      <c r="ABO47" s="4"/>
      <c r="ABP47" s="4"/>
      <c r="ABQ47" s="4"/>
      <c r="ABR47" s="4"/>
      <c r="ABS47" s="4"/>
      <c r="ABT47" s="4"/>
      <c r="ABU47" s="4"/>
      <c r="ABV47" s="4"/>
      <c r="ABW47" s="4"/>
      <c r="ABX47" s="4"/>
      <c r="ABY47" s="4"/>
      <c r="ABZ47" s="4"/>
      <c r="ACA47" s="4"/>
      <c r="ACB47" s="4"/>
      <c r="ACC47" s="4"/>
      <c r="ACD47" s="4"/>
      <c r="ACE47" s="4"/>
      <c r="ACF47" s="4"/>
      <c r="ACG47" s="4"/>
      <c r="ACH47" s="4"/>
      <c r="ACI47" s="4"/>
      <c r="ACJ47" s="4"/>
      <c r="ACK47" s="4"/>
      <c r="ACL47" s="4"/>
      <c r="ACM47" s="4"/>
      <c r="ACN47" s="4"/>
      <c r="ACO47" s="4"/>
      <c r="ACP47" s="4"/>
      <c r="ACQ47" s="4"/>
      <c r="ACR47" s="4"/>
      <c r="ACS47" s="4"/>
      <c r="ACT47" s="4"/>
      <c r="ACU47" s="4"/>
      <c r="ACV47" s="4"/>
      <c r="ACW47" s="4"/>
      <c r="ACX47" s="4"/>
      <c r="ACY47" s="4"/>
      <c r="ACZ47" s="4"/>
      <c r="ADA47" s="4"/>
      <c r="ADB47" s="4"/>
      <c r="ADC47" s="4"/>
      <c r="ADD47" s="4"/>
      <c r="ADE47" s="4"/>
      <c r="ADF47" s="4"/>
      <c r="ADG47" s="4"/>
      <c r="ADH47" s="4"/>
      <c r="ADI47" s="4"/>
      <c r="ADJ47" s="4"/>
      <c r="ADK47" s="4"/>
      <c r="ADL47" s="4"/>
      <c r="ADM47" s="4"/>
      <c r="ADN47" s="4"/>
      <c r="ADO47" s="4"/>
      <c r="ADP47" s="4"/>
      <c r="ADQ47" s="4"/>
      <c r="ADR47" s="4"/>
      <c r="ADS47" s="4"/>
      <c r="ADT47" s="4"/>
      <c r="ADU47" s="4"/>
      <c r="ADV47" s="4"/>
      <c r="ADW47" s="4"/>
      <c r="ADX47" s="4"/>
      <c r="ADY47" s="4"/>
      <c r="ADZ47" s="4"/>
      <c r="AEA47" s="4"/>
      <c r="AEB47" s="4"/>
      <c r="AEC47" s="4"/>
      <c r="AED47" s="4"/>
      <c r="AEE47" s="4"/>
      <c r="AEF47" s="4"/>
      <c r="AEG47" s="4"/>
      <c r="AEH47" s="4"/>
      <c r="AEI47" s="4"/>
      <c r="AEJ47" s="4"/>
      <c r="AEK47" s="4"/>
      <c r="AEL47" s="4"/>
      <c r="AEM47" s="4"/>
      <c r="AEN47" s="4"/>
      <c r="AEO47" s="4"/>
      <c r="AEP47" s="4"/>
      <c r="AEQ47" s="4"/>
      <c r="AER47" s="4"/>
      <c r="AES47" s="4"/>
      <c r="AET47" s="4"/>
      <c r="AEU47" s="4"/>
      <c r="AEV47" s="4"/>
      <c r="AEW47" s="4"/>
      <c r="AEX47" s="4"/>
      <c r="AEY47" s="4"/>
      <c r="AEZ47" s="4"/>
      <c r="AFA47" s="4"/>
      <c r="AFB47" s="4"/>
      <c r="AFC47" s="4"/>
      <c r="AFD47" s="4"/>
      <c r="AFE47" s="4"/>
      <c r="AFF47" s="4"/>
      <c r="AFG47" s="4"/>
      <c r="AFH47" s="4"/>
      <c r="AFI47" s="4"/>
      <c r="AFJ47" s="4"/>
      <c r="AFK47" s="4"/>
      <c r="AFL47" s="4"/>
      <c r="AFM47" s="4"/>
      <c r="AFN47" s="4"/>
      <c r="AFO47" s="4"/>
      <c r="AFP47" s="4"/>
      <c r="AFQ47" s="4"/>
      <c r="AFR47" s="4"/>
      <c r="AFS47" s="4"/>
      <c r="AFT47" s="4"/>
      <c r="AFU47" s="4"/>
      <c r="AFV47" s="4"/>
      <c r="AFW47" s="4"/>
      <c r="AFX47" s="4"/>
      <c r="AFY47" s="4"/>
      <c r="AFZ47" s="4"/>
      <c r="AGA47" s="4"/>
      <c r="AGB47" s="4"/>
      <c r="AGC47" s="4"/>
      <c r="AGD47" s="4"/>
      <c r="AGE47" s="4"/>
      <c r="AGF47" s="4"/>
      <c r="AGG47" s="4"/>
      <c r="AGH47" s="4"/>
      <c r="AGI47" s="4"/>
      <c r="AGJ47" s="4"/>
      <c r="AGK47" s="4"/>
      <c r="AGL47" s="4"/>
      <c r="AGM47" s="4"/>
      <c r="AGN47" s="4"/>
      <c r="AGO47" s="4"/>
      <c r="AGP47" s="4"/>
      <c r="AGQ47" s="4"/>
      <c r="AGR47" s="4"/>
      <c r="AGS47" s="4"/>
      <c r="AGT47" s="4"/>
      <c r="AGU47" s="4"/>
      <c r="AGV47" s="4"/>
      <c r="AGW47" s="4"/>
      <c r="AGX47" s="4"/>
      <c r="AGY47" s="4"/>
      <c r="AGZ47" s="4"/>
      <c r="AHA47" s="4"/>
      <c r="AHB47" s="4"/>
      <c r="AHC47" s="4"/>
      <c r="AHD47" s="4"/>
      <c r="AHE47" s="4"/>
      <c r="AHF47" s="4"/>
      <c r="AHG47" s="4"/>
      <c r="AHH47" s="4"/>
      <c r="AHI47" s="4"/>
      <c r="AHJ47" s="4"/>
      <c r="AHK47" s="4"/>
      <c r="AHL47" s="4"/>
      <c r="AHM47" s="4"/>
      <c r="AHN47" s="4"/>
      <c r="AHO47" s="4"/>
      <c r="AHP47" s="4"/>
      <c r="AHQ47" s="4"/>
      <c r="AHR47" s="4"/>
      <c r="AHS47" s="4"/>
      <c r="AHT47" s="4"/>
      <c r="AHU47" s="4"/>
      <c r="AHV47" s="4"/>
      <c r="AHW47" s="4"/>
      <c r="AHX47" s="4"/>
      <c r="AHY47" s="4"/>
      <c r="AHZ47" s="4"/>
      <c r="AIA47" s="4"/>
      <c r="AIB47" s="4"/>
      <c r="AIC47" s="4"/>
      <c r="AID47" s="4"/>
      <c r="AIE47" s="4"/>
      <c r="AIF47" s="4"/>
      <c r="AIG47" s="4"/>
      <c r="AIH47" s="4"/>
      <c r="AII47" s="4"/>
      <c r="AIJ47" s="4"/>
      <c r="AIK47" s="4"/>
      <c r="AIL47" s="4"/>
      <c r="AIM47" s="4"/>
      <c r="AIN47" s="4"/>
      <c r="AIO47" s="4"/>
      <c r="AIP47" s="4"/>
      <c r="AIQ47" s="4"/>
      <c r="AIR47" s="4"/>
      <c r="AIS47" s="4"/>
      <c r="AIT47" s="4"/>
      <c r="AIU47" s="4"/>
      <c r="AIV47" s="4"/>
      <c r="AIW47" s="4"/>
      <c r="AIX47" s="4"/>
      <c r="AIY47" s="4"/>
      <c r="AIZ47" s="4"/>
      <c r="AJA47" s="4"/>
      <c r="AJB47" s="4"/>
      <c r="AJC47" s="4"/>
      <c r="AJD47" s="4"/>
      <c r="AJE47" s="4"/>
      <c r="AJF47" s="4"/>
      <c r="AJG47" s="4"/>
      <c r="AJH47" s="4"/>
      <c r="AJI47" s="4"/>
      <c r="AJJ47" s="4"/>
      <c r="AJK47" s="4"/>
      <c r="AJL47" s="4"/>
      <c r="AJM47" s="4"/>
      <c r="AJN47" s="4"/>
      <c r="AJO47" s="4"/>
      <c r="AJP47" s="4"/>
      <c r="AJQ47" s="4"/>
      <c r="AJR47" s="4"/>
      <c r="AJS47" s="4"/>
      <c r="AJT47" s="4"/>
      <c r="AJU47" s="4"/>
      <c r="AJV47" s="4"/>
      <c r="AJW47" s="4"/>
      <c r="AJX47" s="4"/>
      <c r="AJY47" s="4"/>
      <c r="AJZ47" s="4"/>
      <c r="AKA47" s="4"/>
      <c r="AKB47" s="4"/>
      <c r="AKC47" s="4"/>
      <c r="AKD47" s="4"/>
      <c r="AKE47" s="4"/>
      <c r="AKF47" s="4"/>
      <c r="AKG47" s="4"/>
      <c r="AKH47" s="4"/>
      <c r="AKI47" s="4"/>
      <c r="AKJ47" s="4"/>
      <c r="AKK47" s="4"/>
      <c r="AKL47" s="4"/>
      <c r="AKM47" s="4"/>
      <c r="AKN47" s="4"/>
      <c r="AKO47" s="4"/>
      <c r="AKP47" s="4"/>
      <c r="AKQ47" s="4"/>
      <c r="AKR47" s="4"/>
      <c r="AKS47" s="4"/>
      <c r="AKT47" s="4"/>
      <c r="AKU47" s="4"/>
      <c r="AKV47" s="4"/>
      <c r="AKW47" s="4"/>
      <c r="AKX47" s="4"/>
      <c r="AKY47" s="4"/>
      <c r="AKZ47" s="4"/>
      <c r="ALA47" s="4"/>
      <c r="ALB47" s="4"/>
      <c r="ALC47" s="4"/>
      <c r="ALD47" s="4"/>
      <c r="ALE47" s="4"/>
      <c r="ALF47" s="4"/>
      <c r="ALG47" s="4"/>
      <c r="ALH47" s="4"/>
      <c r="ALI47" s="4"/>
      <c r="ALJ47" s="4"/>
      <c r="ALK47" s="4"/>
      <c r="ALL47" s="4"/>
      <c r="ALM47" s="4"/>
      <c r="ALN47" s="4"/>
      <c r="ALO47" s="4"/>
      <c r="ALP47" s="4"/>
      <c r="ALQ47" s="4"/>
      <c r="ALR47" s="4"/>
      <c r="ALS47" s="4"/>
      <c r="ALT47" s="4"/>
      <c r="ALU47" s="4"/>
      <c r="ALV47" s="4"/>
      <c r="ALW47" s="4"/>
      <c r="ALX47" s="4"/>
      <c r="ALY47" s="4"/>
      <c r="ALZ47" s="4"/>
      <c r="AMA47" s="4"/>
      <c r="AMB47" s="4"/>
      <c r="AMC47" s="4"/>
      <c r="AMD47" s="4"/>
      <c r="AME47" s="4"/>
      <c r="AMF47" s="4"/>
    </row>
    <row r="48" spans="1:1020" s="9" customFormat="1" ht="36" customHeight="1" x14ac:dyDescent="0.25">
      <c r="A48" s="147" t="s">
        <v>525</v>
      </c>
      <c r="B48" s="147"/>
      <c r="C48" s="148" t="s">
        <v>1140</v>
      </c>
      <c r="D48" s="149"/>
      <c r="E48" s="149"/>
      <c r="F48" s="149"/>
      <c r="G48" s="149"/>
      <c r="H48" s="150"/>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4"/>
      <c r="NA48" s="4"/>
      <c r="NB48" s="4"/>
      <c r="NC48" s="4"/>
      <c r="ND48" s="4"/>
      <c r="NE48" s="4"/>
      <c r="NF48" s="4"/>
      <c r="NG48" s="4"/>
      <c r="NH48" s="4"/>
      <c r="NI48" s="4"/>
      <c r="NJ48" s="4"/>
      <c r="NK48" s="4"/>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c r="PF48" s="4"/>
      <c r="PG48" s="4"/>
      <c r="PH48" s="4"/>
      <c r="PI48" s="4"/>
      <c r="PJ48" s="4"/>
      <c r="PK48" s="4"/>
      <c r="PL48" s="4"/>
      <c r="PM48" s="4"/>
      <c r="PN48" s="4"/>
      <c r="PO48" s="4"/>
      <c r="PP48" s="4"/>
      <c r="PQ48" s="4"/>
      <c r="PR48" s="4"/>
      <c r="PS48" s="4"/>
      <c r="PT48" s="4"/>
      <c r="PU48" s="4"/>
      <c r="PV48" s="4"/>
      <c r="PW48" s="4"/>
      <c r="PX48" s="4"/>
      <c r="PY48" s="4"/>
      <c r="PZ48" s="4"/>
      <c r="QA48" s="4"/>
      <c r="QB48" s="4"/>
      <c r="QC48" s="4"/>
      <c r="QD48" s="4"/>
      <c r="QE48" s="4"/>
      <c r="QF48" s="4"/>
      <c r="QG48" s="4"/>
      <c r="QH48" s="4"/>
      <c r="QI48" s="4"/>
      <c r="QJ48" s="4"/>
      <c r="QK48" s="4"/>
      <c r="QL48" s="4"/>
      <c r="QM48" s="4"/>
      <c r="QN48" s="4"/>
      <c r="QO48" s="4"/>
      <c r="QP48" s="4"/>
      <c r="QQ48" s="4"/>
      <c r="QR48" s="4"/>
      <c r="QS48" s="4"/>
      <c r="QT48" s="4"/>
      <c r="QU48" s="4"/>
      <c r="QV48" s="4"/>
      <c r="QW48" s="4"/>
      <c r="QX48" s="4"/>
      <c r="QY48" s="4"/>
      <c r="QZ48" s="4"/>
      <c r="RA48" s="4"/>
      <c r="RB48" s="4"/>
      <c r="RC48" s="4"/>
      <c r="RD48" s="4"/>
      <c r="RE48" s="4"/>
      <c r="RF48" s="4"/>
      <c r="RG48" s="4"/>
      <c r="RH48" s="4"/>
      <c r="RI48" s="4"/>
      <c r="RJ48" s="4"/>
      <c r="RK48" s="4"/>
      <c r="RL48" s="4"/>
      <c r="RM48" s="4"/>
      <c r="RN48" s="4"/>
      <c r="RO48" s="4"/>
      <c r="RP48" s="4"/>
      <c r="RQ48" s="4"/>
      <c r="RR48" s="4"/>
      <c r="RS48" s="4"/>
      <c r="RT48" s="4"/>
      <c r="RU48" s="4"/>
      <c r="RV48" s="4"/>
      <c r="RW48" s="4"/>
      <c r="RX48" s="4"/>
      <c r="RY48" s="4"/>
      <c r="RZ48" s="4"/>
      <c r="SA48" s="4"/>
      <c r="SB48" s="4"/>
      <c r="SC48" s="4"/>
      <c r="SD48" s="4"/>
      <c r="SE48" s="4"/>
      <c r="SF48" s="4"/>
      <c r="SG48" s="4"/>
      <c r="SH48" s="4"/>
      <c r="SI48" s="4"/>
      <c r="SJ48" s="4"/>
      <c r="SK48" s="4"/>
      <c r="SL48" s="4"/>
      <c r="SM48" s="4"/>
      <c r="SN48" s="4"/>
      <c r="SO48" s="4"/>
      <c r="SP48" s="4"/>
      <c r="SQ48" s="4"/>
      <c r="SR48" s="4"/>
      <c r="SS48" s="4"/>
      <c r="ST48" s="4"/>
      <c r="SU48" s="4"/>
      <c r="SV48" s="4"/>
      <c r="SW48" s="4"/>
      <c r="SX48" s="4"/>
      <c r="SY48" s="4"/>
      <c r="SZ48" s="4"/>
      <c r="TA48" s="4"/>
      <c r="TB48" s="4"/>
      <c r="TC48" s="4"/>
      <c r="TD48" s="4"/>
      <c r="TE48" s="4"/>
      <c r="TF48" s="4"/>
      <c r="TG48" s="4"/>
      <c r="TH48" s="4"/>
      <c r="TI48" s="4"/>
      <c r="TJ48" s="4"/>
      <c r="TK48" s="4"/>
      <c r="TL48" s="4"/>
      <c r="TM48" s="4"/>
      <c r="TN48" s="4"/>
      <c r="TO48" s="4"/>
      <c r="TP48" s="4"/>
      <c r="TQ48" s="4"/>
      <c r="TR48" s="4"/>
      <c r="TS48" s="4"/>
      <c r="TT48" s="4"/>
      <c r="TU48" s="4"/>
      <c r="TV48" s="4"/>
      <c r="TW48" s="4"/>
      <c r="TX48" s="4"/>
      <c r="TY48" s="4"/>
      <c r="TZ48" s="4"/>
      <c r="UA48" s="4"/>
      <c r="UB48" s="4"/>
      <c r="UC48" s="4"/>
      <c r="UD48" s="4"/>
      <c r="UE48" s="4"/>
      <c r="UF48" s="4"/>
      <c r="UG48" s="4"/>
      <c r="UH48" s="4"/>
      <c r="UI48" s="4"/>
      <c r="UJ48" s="4"/>
      <c r="UK48" s="4"/>
      <c r="UL48" s="4"/>
      <c r="UM48" s="4"/>
      <c r="UN48" s="4"/>
      <c r="UO48" s="4"/>
      <c r="UP48" s="4"/>
      <c r="UQ48" s="4"/>
      <c r="UR48" s="4"/>
      <c r="US48" s="4"/>
      <c r="UT48" s="4"/>
      <c r="UU48" s="4"/>
      <c r="UV48" s="4"/>
      <c r="UW48" s="4"/>
      <c r="UX48" s="4"/>
      <c r="UY48" s="4"/>
      <c r="UZ48" s="4"/>
      <c r="VA48" s="4"/>
      <c r="VB48" s="4"/>
      <c r="VC48" s="4"/>
      <c r="VD48" s="4"/>
      <c r="VE48" s="4"/>
      <c r="VF48" s="4"/>
      <c r="VG48" s="4"/>
      <c r="VH48" s="4"/>
      <c r="VI48" s="4"/>
      <c r="VJ48" s="4"/>
      <c r="VK48" s="4"/>
      <c r="VL48" s="4"/>
      <c r="VM48" s="4"/>
      <c r="VN48" s="4"/>
      <c r="VO48" s="4"/>
      <c r="VP48" s="4"/>
      <c r="VQ48" s="4"/>
      <c r="VR48" s="4"/>
      <c r="VS48" s="4"/>
      <c r="VT48" s="4"/>
      <c r="VU48" s="4"/>
      <c r="VV48" s="4"/>
      <c r="VW48" s="4"/>
      <c r="VX48" s="4"/>
      <c r="VY48" s="4"/>
      <c r="VZ48" s="4"/>
      <c r="WA48" s="4"/>
      <c r="WB48" s="4"/>
      <c r="WC48" s="4"/>
      <c r="WD48" s="4"/>
      <c r="WE48" s="4"/>
      <c r="WF48" s="4"/>
      <c r="WG48" s="4"/>
      <c r="WH48" s="4"/>
      <c r="WI48" s="4"/>
      <c r="WJ48" s="4"/>
      <c r="WK48" s="4"/>
      <c r="WL48" s="4"/>
      <c r="WM48" s="4"/>
      <c r="WN48" s="4"/>
      <c r="WO48" s="4"/>
      <c r="WP48" s="4"/>
      <c r="WQ48" s="4"/>
      <c r="WR48" s="4"/>
      <c r="WS48" s="4"/>
      <c r="WT48" s="4"/>
      <c r="WU48" s="4"/>
      <c r="WV48" s="4"/>
      <c r="WW48" s="4"/>
      <c r="WX48" s="4"/>
      <c r="WY48" s="4"/>
      <c r="WZ48" s="4"/>
      <c r="XA48" s="4"/>
      <c r="XB48" s="4"/>
      <c r="XC48" s="4"/>
      <c r="XD48" s="4"/>
      <c r="XE48" s="4"/>
      <c r="XF48" s="4"/>
      <c r="XG48" s="4"/>
      <c r="XH48" s="4"/>
      <c r="XI48" s="4"/>
      <c r="XJ48" s="4"/>
      <c r="XK48" s="4"/>
      <c r="XL48" s="4"/>
      <c r="XM48" s="4"/>
      <c r="XN48" s="4"/>
      <c r="XO48" s="4"/>
      <c r="XP48" s="4"/>
      <c r="XQ48" s="4"/>
      <c r="XR48" s="4"/>
      <c r="XS48" s="4"/>
      <c r="XT48" s="4"/>
      <c r="XU48" s="4"/>
      <c r="XV48" s="4"/>
      <c r="XW48" s="4"/>
      <c r="XX48" s="4"/>
      <c r="XY48" s="4"/>
      <c r="XZ48" s="4"/>
      <c r="YA48" s="4"/>
      <c r="YB48" s="4"/>
      <c r="YC48" s="4"/>
      <c r="YD48" s="4"/>
      <c r="YE48" s="4"/>
      <c r="YF48" s="4"/>
      <c r="YG48" s="4"/>
      <c r="YH48" s="4"/>
      <c r="YI48" s="4"/>
      <c r="YJ48" s="4"/>
      <c r="YK48" s="4"/>
      <c r="YL48" s="4"/>
      <c r="YM48" s="4"/>
      <c r="YN48" s="4"/>
      <c r="YO48" s="4"/>
      <c r="YP48" s="4"/>
      <c r="YQ48" s="4"/>
      <c r="YR48" s="4"/>
      <c r="YS48" s="4"/>
      <c r="YT48" s="4"/>
      <c r="YU48" s="4"/>
      <c r="YV48" s="4"/>
      <c r="YW48" s="4"/>
      <c r="YX48" s="4"/>
      <c r="YY48" s="4"/>
      <c r="YZ48" s="4"/>
      <c r="ZA48" s="4"/>
      <c r="ZB48" s="4"/>
      <c r="ZC48" s="4"/>
      <c r="ZD48" s="4"/>
      <c r="ZE48" s="4"/>
      <c r="ZF48" s="4"/>
      <c r="ZG48" s="4"/>
      <c r="ZH48" s="4"/>
      <c r="ZI48" s="4"/>
      <c r="ZJ48" s="4"/>
      <c r="ZK48" s="4"/>
      <c r="ZL48" s="4"/>
      <c r="ZM48" s="4"/>
      <c r="ZN48" s="4"/>
      <c r="ZO48" s="4"/>
      <c r="ZP48" s="4"/>
      <c r="ZQ48" s="4"/>
      <c r="ZR48" s="4"/>
      <c r="ZS48" s="4"/>
      <c r="ZT48" s="4"/>
      <c r="ZU48" s="4"/>
      <c r="ZV48" s="4"/>
      <c r="ZW48" s="4"/>
      <c r="ZX48" s="4"/>
      <c r="ZY48" s="4"/>
      <c r="ZZ48" s="4"/>
      <c r="AAA48" s="4"/>
      <c r="AAB48" s="4"/>
      <c r="AAC48" s="4"/>
      <c r="AAD48" s="4"/>
      <c r="AAE48" s="4"/>
      <c r="AAF48" s="4"/>
      <c r="AAG48" s="4"/>
      <c r="AAH48" s="4"/>
      <c r="AAI48" s="4"/>
      <c r="AAJ48" s="4"/>
      <c r="AAK48" s="4"/>
      <c r="AAL48" s="4"/>
      <c r="AAM48" s="4"/>
      <c r="AAN48" s="4"/>
      <c r="AAO48" s="4"/>
      <c r="AAP48" s="4"/>
      <c r="AAQ48" s="4"/>
      <c r="AAR48" s="4"/>
      <c r="AAS48" s="4"/>
      <c r="AAT48" s="4"/>
      <c r="AAU48" s="4"/>
      <c r="AAV48" s="4"/>
      <c r="AAW48" s="4"/>
      <c r="AAX48" s="4"/>
      <c r="AAY48" s="4"/>
      <c r="AAZ48" s="4"/>
      <c r="ABA48" s="4"/>
      <c r="ABB48" s="4"/>
      <c r="ABC48" s="4"/>
      <c r="ABD48" s="4"/>
      <c r="ABE48" s="4"/>
      <c r="ABF48" s="4"/>
      <c r="ABG48" s="4"/>
      <c r="ABH48" s="4"/>
      <c r="ABI48" s="4"/>
      <c r="ABJ48" s="4"/>
      <c r="ABK48" s="4"/>
      <c r="ABL48" s="4"/>
      <c r="ABM48" s="4"/>
      <c r="ABN48" s="4"/>
      <c r="ABO48" s="4"/>
      <c r="ABP48" s="4"/>
      <c r="ABQ48" s="4"/>
      <c r="ABR48" s="4"/>
      <c r="ABS48" s="4"/>
      <c r="ABT48" s="4"/>
      <c r="ABU48" s="4"/>
      <c r="ABV48" s="4"/>
      <c r="ABW48" s="4"/>
      <c r="ABX48" s="4"/>
      <c r="ABY48" s="4"/>
      <c r="ABZ48" s="4"/>
      <c r="ACA48" s="4"/>
      <c r="ACB48" s="4"/>
      <c r="ACC48" s="4"/>
      <c r="ACD48" s="4"/>
      <c r="ACE48" s="4"/>
      <c r="ACF48" s="4"/>
      <c r="ACG48" s="4"/>
      <c r="ACH48" s="4"/>
      <c r="ACI48" s="4"/>
      <c r="ACJ48" s="4"/>
      <c r="ACK48" s="4"/>
      <c r="ACL48" s="4"/>
      <c r="ACM48" s="4"/>
      <c r="ACN48" s="4"/>
      <c r="ACO48" s="4"/>
      <c r="ACP48" s="4"/>
      <c r="ACQ48" s="4"/>
      <c r="ACR48" s="4"/>
      <c r="ACS48" s="4"/>
      <c r="ACT48" s="4"/>
      <c r="ACU48" s="4"/>
      <c r="ACV48" s="4"/>
      <c r="ACW48" s="4"/>
      <c r="ACX48" s="4"/>
      <c r="ACY48" s="4"/>
      <c r="ACZ48" s="4"/>
      <c r="ADA48" s="4"/>
      <c r="ADB48" s="4"/>
      <c r="ADC48" s="4"/>
      <c r="ADD48" s="4"/>
      <c r="ADE48" s="4"/>
      <c r="ADF48" s="4"/>
      <c r="ADG48" s="4"/>
      <c r="ADH48" s="4"/>
      <c r="ADI48" s="4"/>
      <c r="ADJ48" s="4"/>
      <c r="ADK48" s="4"/>
      <c r="ADL48" s="4"/>
      <c r="ADM48" s="4"/>
      <c r="ADN48" s="4"/>
      <c r="ADO48" s="4"/>
      <c r="ADP48" s="4"/>
      <c r="ADQ48" s="4"/>
      <c r="ADR48" s="4"/>
      <c r="ADS48" s="4"/>
      <c r="ADT48" s="4"/>
      <c r="ADU48" s="4"/>
      <c r="ADV48" s="4"/>
      <c r="ADW48" s="4"/>
      <c r="ADX48" s="4"/>
      <c r="ADY48" s="4"/>
      <c r="ADZ48" s="4"/>
      <c r="AEA48" s="4"/>
      <c r="AEB48" s="4"/>
      <c r="AEC48" s="4"/>
      <c r="AED48" s="4"/>
      <c r="AEE48" s="4"/>
      <c r="AEF48" s="4"/>
      <c r="AEG48" s="4"/>
      <c r="AEH48" s="4"/>
      <c r="AEI48" s="4"/>
      <c r="AEJ48" s="4"/>
      <c r="AEK48" s="4"/>
      <c r="AEL48" s="4"/>
      <c r="AEM48" s="4"/>
      <c r="AEN48" s="4"/>
      <c r="AEO48" s="4"/>
      <c r="AEP48" s="4"/>
      <c r="AEQ48" s="4"/>
      <c r="AER48" s="4"/>
      <c r="AES48" s="4"/>
      <c r="AET48" s="4"/>
      <c r="AEU48" s="4"/>
      <c r="AEV48" s="4"/>
      <c r="AEW48" s="4"/>
      <c r="AEX48" s="4"/>
      <c r="AEY48" s="4"/>
      <c r="AEZ48" s="4"/>
      <c r="AFA48" s="4"/>
      <c r="AFB48" s="4"/>
      <c r="AFC48" s="4"/>
      <c r="AFD48" s="4"/>
      <c r="AFE48" s="4"/>
      <c r="AFF48" s="4"/>
      <c r="AFG48" s="4"/>
      <c r="AFH48" s="4"/>
      <c r="AFI48" s="4"/>
      <c r="AFJ48" s="4"/>
      <c r="AFK48" s="4"/>
      <c r="AFL48" s="4"/>
      <c r="AFM48" s="4"/>
      <c r="AFN48" s="4"/>
      <c r="AFO48" s="4"/>
      <c r="AFP48" s="4"/>
      <c r="AFQ48" s="4"/>
      <c r="AFR48" s="4"/>
      <c r="AFS48" s="4"/>
      <c r="AFT48" s="4"/>
      <c r="AFU48" s="4"/>
      <c r="AFV48" s="4"/>
      <c r="AFW48" s="4"/>
      <c r="AFX48" s="4"/>
      <c r="AFY48" s="4"/>
      <c r="AFZ48" s="4"/>
      <c r="AGA48" s="4"/>
      <c r="AGB48" s="4"/>
      <c r="AGC48" s="4"/>
      <c r="AGD48" s="4"/>
      <c r="AGE48" s="4"/>
      <c r="AGF48" s="4"/>
      <c r="AGG48" s="4"/>
      <c r="AGH48" s="4"/>
      <c r="AGI48" s="4"/>
      <c r="AGJ48" s="4"/>
      <c r="AGK48" s="4"/>
      <c r="AGL48" s="4"/>
      <c r="AGM48" s="4"/>
      <c r="AGN48" s="4"/>
      <c r="AGO48" s="4"/>
      <c r="AGP48" s="4"/>
      <c r="AGQ48" s="4"/>
      <c r="AGR48" s="4"/>
      <c r="AGS48" s="4"/>
      <c r="AGT48" s="4"/>
      <c r="AGU48" s="4"/>
      <c r="AGV48" s="4"/>
      <c r="AGW48" s="4"/>
      <c r="AGX48" s="4"/>
      <c r="AGY48" s="4"/>
      <c r="AGZ48" s="4"/>
      <c r="AHA48" s="4"/>
      <c r="AHB48" s="4"/>
      <c r="AHC48" s="4"/>
      <c r="AHD48" s="4"/>
      <c r="AHE48" s="4"/>
      <c r="AHF48" s="4"/>
      <c r="AHG48" s="4"/>
      <c r="AHH48" s="4"/>
      <c r="AHI48" s="4"/>
      <c r="AHJ48" s="4"/>
      <c r="AHK48" s="4"/>
      <c r="AHL48" s="4"/>
      <c r="AHM48" s="4"/>
      <c r="AHN48" s="4"/>
      <c r="AHO48" s="4"/>
      <c r="AHP48" s="4"/>
      <c r="AHQ48" s="4"/>
      <c r="AHR48" s="4"/>
      <c r="AHS48" s="4"/>
      <c r="AHT48" s="4"/>
      <c r="AHU48" s="4"/>
      <c r="AHV48" s="4"/>
      <c r="AHW48" s="4"/>
      <c r="AHX48" s="4"/>
      <c r="AHY48" s="4"/>
      <c r="AHZ48" s="4"/>
      <c r="AIA48" s="4"/>
      <c r="AIB48" s="4"/>
      <c r="AIC48" s="4"/>
      <c r="AID48" s="4"/>
      <c r="AIE48" s="4"/>
      <c r="AIF48" s="4"/>
      <c r="AIG48" s="4"/>
      <c r="AIH48" s="4"/>
      <c r="AII48" s="4"/>
      <c r="AIJ48" s="4"/>
      <c r="AIK48" s="4"/>
      <c r="AIL48" s="4"/>
      <c r="AIM48" s="4"/>
      <c r="AIN48" s="4"/>
      <c r="AIO48" s="4"/>
      <c r="AIP48" s="4"/>
      <c r="AIQ48" s="4"/>
      <c r="AIR48" s="4"/>
      <c r="AIS48" s="4"/>
      <c r="AIT48" s="4"/>
      <c r="AIU48" s="4"/>
      <c r="AIV48" s="4"/>
      <c r="AIW48" s="4"/>
      <c r="AIX48" s="4"/>
      <c r="AIY48" s="4"/>
      <c r="AIZ48" s="4"/>
      <c r="AJA48" s="4"/>
      <c r="AJB48" s="4"/>
      <c r="AJC48" s="4"/>
      <c r="AJD48" s="4"/>
      <c r="AJE48" s="4"/>
      <c r="AJF48" s="4"/>
      <c r="AJG48" s="4"/>
      <c r="AJH48" s="4"/>
      <c r="AJI48" s="4"/>
      <c r="AJJ48" s="4"/>
      <c r="AJK48" s="4"/>
      <c r="AJL48" s="4"/>
      <c r="AJM48" s="4"/>
      <c r="AJN48" s="4"/>
      <c r="AJO48" s="4"/>
      <c r="AJP48" s="4"/>
      <c r="AJQ48" s="4"/>
      <c r="AJR48" s="4"/>
      <c r="AJS48" s="4"/>
      <c r="AJT48" s="4"/>
      <c r="AJU48" s="4"/>
      <c r="AJV48" s="4"/>
      <c r="AJW48" s="4"/>
      <c r="AJX48" s="4"/>
      <c r="AJY48" s="4"/>
      <c r="AJZ48" s="4"/>
      <c r="AKA48" s="4"/>
      <c r="AKB48" s="4"/>
      <c r="AKC48" s="4"/>
      <c r="AKD48" s="4"/>
      <c r="AKE48" s="4"/>
      <c r="AKF48" s="4"/>
      <c r="AKG48" s="4"/>
      <c r="AKH48" s="4"/>
      <c r="AKI48" s="4"/>
      <c r="AKJ48" s="4"/>
      <c r="AKK48" s="4"/>
      <c r="AKL48" s="4"/>
      <c r="AKM48" s="4"/>
      <c r="AKN48" s="4"/>
      <c r="AKO48" s="4"/>
      <c r="AKP48" s="4"/>
      <c r="AKQ48" s="4"/>
      <c r="AKR48" s="4"/>
      <c r="AKS48" s="4"/>
      <c r="AKT48" s="4"/>
      <c r="AKU48" s="4"/>
      <c r="AKV48" s="4"/>
      <c r="AKW48" s="4"/>
      <c r="AKX48" s="4"/>
      <c r="AKY48" s="4"/>
      <c r="AKZ48" s="4"/>
      <c r="ALA48" s="4"/>
      <c r="ALB48" s="4"/>
      <c r="ALC48" s="4"/>
      <c r="ALD48" s="4"/>
      <c r="ALE48" s="4"/>
      <c r="ALF48" s="4"/>
      <c r="ALG48" s="4"/>
      <c r="ALH48" s="4"/>
      <c r="ALI48" s="4"/>
      <c r="ALJ48" s="4"/>
      <c r="ALK48" s="4"/>
      <c r="ALL48" s="4"/>
      <c r="ALM48" s="4"/>
      <c r="ALN48" s="4"/>
      <c r="ALO48" s="4"/>
      <c r="ALP48" s="4"/>
      <c r="ALQ48" s="4"/>
      <c r="ALR48" s="4"/>
      <c r="ALS48" s="4"/>
      <c r="ALT48" s="4"/>
      <c r="ALU48" s="4"/>
      <c r="ALV48" s="4"/>
      <c r="ALW48" s="4"/>
      <c r="ALX48" s="4"/>
      <c r="ALY48" s="4"/>
      <c r="ALZ48" s="4"/>
      <c r="AMA48" s="4"/>
      <c r="AMB48" s="4"/>
      <c r="AMC48" s="4"/>
      <c r="AMD48" s="4"/>
      <c r="AME48" s="4"/>
      <c r="AMF48" s="4"/>
    </row>
    <row r="49" spans="1:1020" s="9" customFormat="1" ht="36" customHeight="1" x14ac:dyDescent="0.25">
      <c r="A49" s="147" t="s">
        <v>564</v>
      </c>
      <c r="B49" s="147"/>
      <c r="C49" s="148" t="s">
        <v>1141</v>
      </c>
      <c r="D49" s="149"/>
      <c r="E49" s="149"/>
      <c r="F49" s="149"/>
      <c r="G49" s="149"/>
      <c r="H49" s="150"/>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4"/>
      <c r="NA49" s="4"/>
      <c r="NB49" s="4"/>
      <c r="NC49" s="4"/>
      <c r="ND49" s="4"/>
      <c r="NE49" s="4"/>
      <c r="NF49" s="4"/>
      <c r="NG49" s="4"/>
      <c r="NH49" s="4"/>
      <c r="NI49" s="4"/>
      <c r="NJ49" s="4"/>
      <c r="NK49" s="4"/>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c r="PF49" s="4"/>
      <c r="PG49" s="4"/>
      <c r="PH49" s="4"/>
      <c r="PI49" s="4"/>
      <c r="PJ49" s="4"/>
      <c r="PK49" s="4"/>
      <c r="PL49" s="4"/>
      <c r="PM49" s="4"/>
      <c r="PN49" s="4"/>
      <c r="PO49" s="4"/>
      <c r="PP49" s="4"/>
      <c r="PQ49" s="4"/>
      <c r="PR49" s="4"/>
      <c r="PS49" s="4"/>
      <c r="PT49" s="4"/>
      <c r="PU49" s="4"/>
      <c r="PV49" s="4"/>
      <c r="PW49" s="4"/>
      <c r="PX49" s="4"/>
      <c r="PY49" s="4"/>
      <c r="PZ49" s="4"/>
      <c r="QA49" s="4"/>
      <c r="QB49" s="4"/>
      <c r="QC49" s="4"/>
      <c r="QD49" s="4"/>
      <c r="QE49" s="4"/>
      <c r="QF49" s="4"/>
      <c r="QG49" s="4"/>
      <c r="QH49" s="4"/>
      <c r="QI49" s="4"/>
      <c r="QJ49" s="4"/>
      <c r="QK49" s="4"/>
      <c r="QL49" s="4"/>
      <c r="QM49" s="4"/>
      <c r="QN49" s="4"/>
      <c r="QO49" s="4"/>
      <c r="QP49" s="4"/>
      <c r="QQ49" s="4"/>
      <c r="QR49" s="4"/>
      <c r="QS49" s="4"/>
      <c r="QT49" s="4"/>
      <c r="QU49" s="4"/>
      <c r="QV49" s="4"/>
      <c r="QW49" s="4"/>
      <c r="QX49" s="4"/>
      <c r="QY49" s="4"/>
      <c r="QZ49" s="4"/>
      <c r="RA49" s="4"/>
      <c r="RB49" s="4"/>
      <c r="RC49" s="4"/>
      <c r="RD49" s="4"/>
      <c r="RE49" s="4"/>
      <c r="RF49" s="4"/>
      <c r="RG49" s="4"/>
      <c r="RH49" s="4"/>
      <c r="RI49" s="4"/>
      <c r="RJ49" s="4"/>
      <c r="RK49" s="4"/>
      <c r="RL49" s="4"/>
      <c r="RM49" s="4"/>
      <c r="RN49" s="4"/>
      <c r="RO49" s="4"/>
      <c r="RP49" s="4"/>
      <c r="RQ49" s="4"/>
      <c r="RR49" s="4"/>
      <c r="RS49" s="4"/>
      <c r="RT49" s="4"/>
      <c r="RU49" s="4"/>
      <c r="RV49" s="4"/>
      <c r="RW49" s="4"/>
      <c r="RX49" s="4"/>
      <c r="RY49" s="4"/>
      <c r="RZ49" s="4"/>
      <c r="SA49" s="4"/>
      <c r="SB49" s="4"/>
      <c r="SC49" s="4"/>
      <c r="SD49" s="4"/>
      <c r="SE49" s="4"/>
      <c r="SF49" s="4"/>
      <c r="SG49" s="4"/>
      <c r="SH49" s="4"/>
      <c r="SI49" s="4"/>
      <c r="SJ49" s="4"/>
      <c r="SK49" s="4"/>
      <c r="SL49" s="4"/>
      <c r="SM49" s="4"/>
      <c r="SN49" s="4"/>
      <c r="SO49" s="4"/>
      <c r="SP49" s="4"/>
      <c r="SQ49" s="4"/>
      <c r="SR49" s="4"/>
      <c r="SS49" s="4"/>
      <c r="ST49" s="4"/>
      <c r="SU49" s="4"/>
      <c r="SV49" s="4"/>
      <c r="SW49" s="4"/>
      <c r="SX49" s="4"/>
      <c r="SY49" s="4"/>
      <c r="SZ49" s="4"/>
      <c r="TA49" s="4"/>
      <c r="TB49" s="4"/>
      <c r="TC49" s="4"/>
      <c r="TD49" s="4"/>
      <c r="TE49" s="4"/>
      <c r="TF49" s="4"/>
      <c r="TG49" s="4"/>
      <c r="TH49" s="4"/>
      <c r="TI49" s="4"/>
      <c r="TJ49" s="4"/>
      <c r="TK49" s="4"/>
      <c r="TL49" s="4"/>
      <c r="TM49" s="4"/>
      <c r="TN49" s="4"/>
      <c r="TO49" s="4"/>
      <c r="TP49" s="4"/>
      <c r="TQ49" s="4"/>
      <c r="TR49" s="4"/>
      <c r="TS49" s="4"/>
      <c r="TT49" s="4"/>
      <c r="TU49" s="4"/>
      <c r="TV49" s="4"/>
      <c r="TW49" s="4"/>
      <c r="TX49" s="4"/>
      <c r="TY49" s="4"/>
      <c r="TZ49" s="4"/>
      <c r="UA49" s="4"/>
      <c r="UB49" s="4"/>
      <c r="UC49" s="4"/>
      <c r="UD49" s="4"/>
      <c r="UE49" s="4"/>
      <c r="UF49" s="4"/>
      <c r="UG49" s="4"/>
      <c r="UH49" s="4"/>
      <c r="UI49" s="4"/>
      <c r="UJ49" s="4"/>
      <c r="UK49" s="4"/>
      <c r="UL49" s="4"/>
      <c r="UM49" s="4"/>
      <c r="UN49" s="4"/>
      <c r="UO49" s="4"/>
      <c r="UP49" s="4"/>
      <c r="UQ49" s="4"/>
      <c r="UR49" s="4"/>
      <c r="US49" s="4"/>
      <c r="UT49" s="4"/>
      <c r="UU49" s="4"/>
      <c r="UV49" s="4"/>
      <c r="UW49" s="4"/>
      <c r="UX49" s="4"/>
      <c r="UY49" s="4"/>
      <c r="UZ49" s="4"/>
      <c r="VA49" s="4"/>
      <c r="VB49" s="4"/>
      <c r="VC49" s="4"/>
      <c r="VD49" s="4"/>
      <c r="VE49" s="4"/>
      <c r="VF49" s="4"/>
      <c r="VG49" s="4"/>
      <c r="VH49" s="4"/>
      <c r="VI49" s="4"/>
      <c r="VJ49" s="4"/>
      <c r="VK49" s="4"/>
      <c r="VL49" s="4"/>
      <c r="VM49" s="4"/>
      <c r="VN49" s="4"/>
      <c r="VO49" s="4"/>
      <c r="VP49" s="4"/>
      <c r="VQ49" s="4"/>
      <c r="VR49" s="4"/>
      <c r="VS49" s="4"/>
      <c r="VT49" s="4"/>
      <c r="VU49" s="4"/>
      <c r="VV49" s="4"/>
      <c r="VW49" s="4"/>
      <c r="VX49" s="4"/>
      <c r="VY49" s="4"/>
      <c r="VZ49" s="4"/>
      <c r="WA49" s="4"/>
      <c r="WB49" s="4"/>
      <c r="WC49" s="4"/>
      <c r="WD49" s="4"/>
      <c r="WE49" s="4"/>
      <c r="WF49" s="4"/>
      <c r="WG49" s="4"/>
      <c r="WH49" s="4"/>
      <c r="WI49" s="4"/>
      <c r="WJ49" s="4"/>
      <c r="WK49" s="4"/>
      <c r="WL49" s="4"/>
      <c r="WM49" s="4"/>
      <c r="WN49" s="4"/>
      <c r="WO49" s="4"/>
      <c r="WP49" s="4"/>
      <c r="WQ49" s="4"/>
      <c r="WR49" s="4"/>
      <c r="WS49" s="4"/>
      <c r="WT49" s="4"/>
      <c r="WU49" s="4"/>
      <c r="WV49" s="4"/>
      <c r="WW49" s="4"/>
      <c r="WX49" s="4"/>
      <c r="WY49" s="4"/>
      <c r="WZ49" s="4"/>
      <c r="XA49" s="4"/>
      <c r="XB49" s="4"/>
      <c r="XC49" s="4"/>
      <c r="XD49" s="4"/>
      <c r="XE49" s="4"/>
      <c r="XF49" s="4"/>
      <c r="XG49" s="4"/>
      <c r="XH49" s="4"/>
      <c r="XI49" s="4"/>
      <c r="XJ49" s="4"/>
      <c r="XK49" s="4"/>
      <c r="XL49" s="4"/>
      <c r="XM49" s="4"/>
      <c r="XN49" s="4"/>
      <c r="XO49" s="4"/>
      <c r="XP49" s="4"/>
      <c r="XQ49" s="4"/>
      <c r="XR49" s="4"/>
      <c r="XS49" s="4"/>
      <c r="XT49" s="4"/>
      <c r="XU49" s="4"/>
      <c r="XV49" s="4"/>
      <c r="XW49" s="4"/>
      <c r="XX49" s="4"/>
      <c r="XY49" s="4"/>
      <c r="XZ49" s="4"/>
      <c r="YA49" s="4"/>
      <c r="YB49" s="4"/>
      <c r="YC49" s="4"/>
      <c r="YD49" s="4"/>
      <c r="YE49" s="4"/>
      <c r="YF49" s="4"/>
      <c r="YG49" s="4"/>
      <c r="YH49" s="4"/>
      <c r="YI49" s="4"/>
      <c r="YJ49" s="4"/>
      <c r="YK49" s="4"/>
      <c r="YL49" s="4"/>
      <c r="YM49" s="4"/>
      <c r="YN49" s="4"/>
      <c r="YO49" s="4"/>
      <c r="YP49" s="4"/>
      <c r="YQ49" s="4"/>
      <c r="YR49" s="4"/>
      <c r="YS49" s="4"/>
      <c r="YT49" s="4"/>
      <c r="YU49" s="4"/>
      <c r="YV49" s="4"/>
      <c r="YW49" s="4"/>
      <c r="YX49" s="4"/>
      <c r="YY49" s="4"/>
      <c r="YZ49" s="4"/>
      <c r="ZA49" s="4"/>
      <c r="ZB49" s="4"/>
      <c r="ZC49" s="4"/>
      <c r="ZD49" s="4"/>
      <c r="ZE49" s="4"/>
      <c r="ZF49" s="4"/>
      <c r="ZG49" s="4"/>
      <c r="ZH49" s="4"/>
      <c r="ZI49" s="4"/>
      <c r="ZJ49" s="4"/>
      <c r="ZK49" s="4"/>
      <c r="ZL49" s="4"/>
      <c r="ZM49" s="4"/>
      <c r="ZN49" s="4"/>
      <c r="ZO49" s="4"/>
      <c r="ZP49" s="4"/>
      <c r="ZQ49" s="4"/>
      <c r="ZR49" s="4"/>
      <c r="ZS49" s="4"/>
      <c r="ZT49" s="4"/>
      <c r="ZU49" s="4"/>
      <c r="ZV49" s="4"/>
      <c r="ZW49" s="4"/>
      <c r="ZX49" s="4"/>
      <c r="ZY49" s="4"/>
      <c r="ZZ49" s="4"/>
      <c r="AAA49" s="4"/>
      <c r="AAB49" s="4"/>
      <c r="AAC49" s="4"/>
      <c r="AAD49" s="4"/>
      <c r="AAE49" s="4"/>
      <c r="AAF49" s="4"/>
      <c r="AAG49" s="4"/>
      <c r="AAH49" s="4"/>
      <c r="AAI49" s="4"/>
      <c r="AAJ49" s="4"/>
      <c r="AAK49" s="4"/>
      <c r="AAL49" s="4"/>
      <c r="AAM49" s="4"/>
      <c r="AAN49" s="4"/>
      <c r="AAO49" s="4"/>
      <c r="AAP49" s="4"/>
      <c r="AAQ49" s="4"/>
      <c r="AAR49" s="4"/>
      <c r="AAS49" s="4"/>
      <c r="AAT49" s="4"/>
      <c r="AAU49" s="4"/>
      <c r="AAV49" s="4"/>
      <c r="AAW49" s="4"/>
      <c r="AAX49" s="4"/>
      <c r="AAY49" s="4"/>
      <c r="AAZ49" s="4"/>
      <c r="ABA49" s="4"/>
      <c r="ABB49" s="4"/>
      <c r="ABC49" s="4"/>
      <c r="ABD49" s="4"/>
      <c r="ABE49" s="4"/>
      <c r="ABF49" s="4"/>
      <c r="ABG49" s="4"/>
      <c r="ABH49" s="4"/>
      <c r="ABI49" s="4"/>
      <c r="ABJ49" s="4"/>
      <c r="ABK49" s="4"/>
      <c r="ABL49" s="4"/>
      <c r="ABM49" s="4"/>
      <c r="ABN49" s="4"/>
      <c r="ABO49" s="4"/>
      <c r="ABP49" s="4"/>
      <c r="ABQ49" s="4"/>
      <c r="ABR49" s="4"/>
      <c r="ABS49" s="4"/>
      <c r="ABT49" s="4"/>
      <c r="ABU49" s="4"/>
      <c r="ABV49" s="4"/>
      <c r="ABW49" s="4"/>
      <c r="ABX49" s="4"/>
      <c r="ABY49" s="4"/>
      <c r="ABZ49" s="4"/>
      <c r="ACA49" s="4"/>
      <c r="ACB49" s="4"/>
      <c r="ACC49" s="4"/>
      <c r="ACD49" s="4"/>
      <c r="ACE49" s="4"/>
      <c r="ACF49" s="4"/>
      <c r="ACG49" s="4"/>
      <c r="ACH49" s="4"/>
      <c r="ACI49" s="4"/>
      <c r="ACJ49" s="4"/>
      <c r="ACK49" s="4"/>
      <c r="ACL49" s="4"/>
      <c r="ACM49" s="4"/>
      <c r="ACN49" s="4"/>
      <c r="ACO49" s="4"/>
      <c r="ACP49" s="4"/>
      <c r="ACQ49" s="4"/>
      <c r="ACR49" s="4"/>
      <c r="ACS49" s="4"/>
      <c r="ACT49" s="4"/>
      <c r="ACU49" s="4"/>
      <c r="ACV49" s="4"/>
      <c r="ACW49" s="4"/>
      <c r="ACX49" s="4"/>
      <c r="ACY49" s="4"/>
      <c r="ACZ49" s="4"/>
      <c r="ADA49" s="4"/>
      <c r="ADB49" s="4"/>
      <c r="ADC49" s="4"/>
      <c r="ADD49" s="4"/>
      <c r="ADE49" s="4"/>
      <c r="ADF49" s="4"/>
      <c r="ADG49" s="4"/>
      <c r="ADH49" s="4"/>
      <c r="ADI49" s="4"/>
      <c r="ADJ49" s="4"/>
      <c r="ADK49" s="4"/>
      <c r="ADL49" s="4"/>
      <c r="ADM49" s="4"/>
      <c r="ADN49" s="4"/>
      <c r="ADO49" s="4"/>
      <c r="ADP49" s="4"/>
      <c r="ADQ49" s="4"/>
      <c r="ADR49" s="4"/>
      <c r="ADS49" s="4"/>
      <c r="ADT49" s="4"/>
      <c r="ADU49" s="4"/>
      <c r="ADV49" s="4"/>
      <c r="ADW49" s="4"/>
      <c r="ADX49" s="4"/>
      <c r="ADY49" s="4"/>
      <c r="ADZ49" s="4"/>
      <c r="AEA49" s="4"/>
      <c r="AEB49" s="4"/>
      <c r="AEC49" s="4"/>
      <c r="AED49" s="4"/>
      <c r="AEE49" s="4"/>
      <c r="AEF49" s="4"/>
      <c r="AEG49" s="4"/>
      <c r="AEH49" s="4"/>
      <c r="AEI49" s="4"/>
      <c r="AEJ49" s="4"/>
      <c r="AEK49" s="4"/>
      <c r="AEL49" s="4"/>
      <c r="AEM49" s="4"/>
      <c r="AEN49" s="4"/>
      <c r="AEO49" s="4"/>
      <c r="AEP49" s="4"/>
      <c r="AEQ49" s="4"/>
      <c r="AER49" s="4"/>
      <c r="AES49" s="4"/>
      <c r="AET49" s="4"/>
      <c r="AEU49" s="4"/>
      <c r="AEV49" s="4"/>
      <c r="AEW49" s="4"/>
      <c r="AEX49" s="4"/>
      <c r="AEY49" s="4"/>
      <c r="AEZ49" s="4"/>
      <c r="AFA49" s="4"/>
      <c r="AFB49" s="4"/>
      <c r="AFC49" s="4"/>
      <c r="AFD49" s="4"/>
      <c r="AFE49" s="4"/>
      <c r="AFF49" s="4"/>
      <c r="AFG49" s="4"/>
      <c r="AFH49" s="4"/>
      <c r="AFI49" s="4"/>
      <c r="AFJ49" s="4"/>
      <c r="AFK49" s="4"/>
      <c r="AFL49" s="4"/>
      <c r="AFM49" s="4"/>
      <c r="AFN49" s="4"/>
      <c r="AFO49" s="4"/>
      <c r="AFP49" s="4"/>
      <c r="AFQ49" s="4"/>
      <c r="AFR49" s="4"/>
      <c r="AFS49" s="4"/>
      <c r="AFT49" s="4"/>
      <c r="AFU49" s="4"/>
      <c r="AFV49" s="4"/>
      <c r="AFW49" s="4"/>
      <c r="AFX49" s="4"/>
      <c r="AFY49" s="4"/>
      <c r="AFZ49" s="4"/>
      <c r="AGA49" s="4"/>
      <c r="AGB49" s="4"/>
      <c r="AGC49" s="4"/>
      <c r="AGD49" s="4"/>
      <c r="AGE49" s="4"/>
      <c r="AGF49" s="4"/>
      <c r="AGG49" s="4"/>
      <c r="AGH49" s="4"/>
      <c r="AGI49" s="4"/>
      <c r="AGJ49" s="4"/>
      <c r="AGK49" s="4"/>
      <c r="AGL49" s="4"/>
      <c r="AGM49" s="4"/>
      <c r="AGN49" s="4"/>
      <c r="AGO49" s="4"/>
      <c r="AGP49" s="4"/>
      <c r="AGQ49" s="4"/>
      <c r="AGR49" s="4"/>
      <c r="AGS49" s="4"/>
      <c r="AGT49" s="4"/>
      <c r="AGU49" s="4"/>
      <c r="AGV49" s="4"/>
      <c r="AGW49" s="4"/>
      <c r="AGX49" s="4"/>
      <c r="AGY49" s="4"/>
      <c r="AGZ49" s="4"/>
      <c r="AHA49" s="4"/>
      <c r="AHB49" s="4"/>
      <c r="AHC49" s="4"/>
      <c r="AHD49" s="4"/>
      <c r="AHE49" s="4"/>
      <c r="AHF49" s="4"/>
      <c r="AHG49" s="4"/>
      <c r="AHH49" s="4"/>
      <c r="AHI49" s="4"/>
      <c r="AHJ49" s="4"/>
      <c r="AHK49" s="4"/>
      <c r="AHL49" s="4"/>
      <c r="AHM49" s="4"/>
      <c r="AHN49" s="4"/>
      <c r="AHO49" s="4"/>
      <c r="AHP49" s="4"/>
      <c r="AHQ49" s="4"/>
      <c r="AHR49" s="4"/>
      <c r="AHS49" s="4"/>
      <c r="AHT49" s="4"/>
      <c r="AHU49" s="4"/>
      <c r="AHV49" s="4"/>
      <c r="AHW49" s="4"/>
      <c r="AHX49" s="4"/>
      <c r="AHY49" s="4"/>
      <c r="AHZ49" s="4"/>
      <c r="AIA49" s="4"/>
      <c r="AIB49" s="4"/>
      <c r="AIC49" s="4"/>
      <c r="AID49" s="4"/>
      <c r="AIE49" s="4"/>
      <c r="AIF49" s="4"/>
      <c r="AIG49" s="4"/>
      <c r="AIH49" s="4"/>
      <c r="AII49" s="4"/>
      <c r="AIJ49" s="4"/>
      <c r="AIK49" s="4"/>
      <c r="AIL49" s="4"/>
      <c r="AIM49" s="4"/>
      <c r="AIN49" s="4"/>
      <c r="AIO49" s="4"/>
      <c r="AIP49" s="4"/>
      <c r="AIQ49" s="4"/>
      <c r="AIR49" s="4"/>
      <c r="AIS49" s="4"/>
      <c r="AIT49" s="4"/>
      <c r="AIU49" s="4"/>
      <c r="AIV49" s="4"/>
      <c r="AIW49" s="4"/>
      <c r="AIX49" s="4"/>
      <c r="AIY49" s="4"/>
      <c r="AIZ49" s="4"/>
      <c r="AJA49" s="4"/>
      <c r="AJB49" s="4"/>
      <c r="AJC49" s="4"/>
      <c r="AJD49" s="4"/>
      <c r="AJE49" s="4"/>
      <c r="AJF49" s="4"/>
      <c r="AJG49" s="4"/>
      <c r="AJH49" s="4"/>
      <c r="AJI49" s="4"/>
      <c r="AJJ49" s="4"/>
      <c r="AJK49" s="4"/>
      <c r="AJL49" s="4"/>
      <c r="AJM49" s="4"/>
      <c r="AJN49" s="4"/>
      <c r="AJO49" s="4"/>
      <c r="AJP49" s="4"/>
      <c r="AJQ49" s="4"/>
      <c r="AJR49" s="4"/>
      <c r="AJS49" s="4"/>
      <c r="AJT49" s="4"/>
      <c r="AJU49" s="4"/>
      <c r="AJV49" s="4"/>
      <c r="AJW49" s="4"/>
      <c r="AJX49" s="4"/>
      <c r="AJY49" s="4"/>
      <c r="AJZ49" s="4"/>
      <c r="AKA49" s="4"/>
      <c r="AKB49" s="4"/>
      <c r="AKC49" s="4"/>
      <c r="AKD49" s="4"/>
      <c r="AKE49" s="4"/>
      <c r="AKF49" s="4"/>
      <c r="AKG49" s="4"/>
      <c r="AKH49" s="4"/>
      <c r="AKI49" s="4"/>
      <c r="AKJ49" s="4"/>
      <c r="AKK49" s="4"/>
      <c r="AKL49" s="4"/>
      <c r="AKM49" s="4"/>
      <c r="AKN49" s="4"/>
      <c r="AKO49" s="4"/>
      <c r="AKP49" s="4"/>
      <c r="AKQ49" s="4"/>
      <c r="AKR49" s="4"/>
      <c r="AKS49" s="4"/>
      <c r="AKT49" s="4"/>
      <c r="AKU49" s="4"/>
      <c r="AKV49" s="4"/>
      <c r="AKW49" s="4"/>
      <c r="AKX49" s="4"/>
      <c r="AKY49" s="4"/>
      <c r="AKZ49" s="4"/>
      <c r="ALA49" s="4"/>
      <c r="ALB49" s="4"/>
      <c r="ALC49" s="4"/>
      <c r="ALD49" s="4"/>
      <c r="ALE49" s="4"/>
      <c r="ALF49" s="4"/>
      <c r="ALG49" s="4"/>
      <c r="ALH49" s="4"/>
      <c r="ALI49" s="4"/>
      <c r="ALJ49" s="4"/>
      <c r="ALK49" s="4"/>
      <c r="ALL49" s="4"/>
      <c r="ALM49" s="4"/>
      <c r="ALN49" s="4"/>
      <c r="ALO49" s="4"/>
      <c r="ALP49" s="4"/>
      <c r="ALQ49" s="4"/>
      <c r="ALR49" s="4"/>
      <c r="ALS49" s="4"/>
      <c r="ALT49" s="4"/>
      <c r="ALU49" s="4"/>
      <c r="ALV49" s="4"/>
      <c r="ALW49" s="4"/>
      <c r="ALX49" s="4"/>
      <c r="ALY49" s="4"/>
      <c r="ALZ49" s="4"/>
      <c r="AMA49" s="4"/>
      <c r="AMB49" s="4"/>
      <c r="AMC49" s="4"/>
      <c r="AMD49" s="4"/>
      <c r="AME49" s="4"/>
      <c r="AMF49" s="4"/>
    </row>
    <row r="50" spans="1:1020" s="9" customFormat="1" ht="48" customHeight="1" x14ac:dyDescent="0.25">
      <c r="A50" s="147" t="s">
        <v>560</v>
      </c>
      <c r="B50" s="147"/>
      <c r="C50" s="148" t="s">
        <v>1142</v>
      </c>
      <c r="D50" s="149"/>
      <c r="E50" s="149"/>
      <c r="F50" s="149"/>
      <c r="G50" s="149"/>
      <c r="H50" s="150"/>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c r="MP50" s="4"/>
      <c r="MQ50" s="4"/>
      <c r="MR50" s="4"/>
      <c r="MS50" s="4"/>
      <c r="MT50" s="4"/>
      <c r="MU50" s="4"/>
      <c r="MV50" s="4"/>
      <c r="MW50" s="4"/>
      <c r="MX50" s="4"/>
      <c r="MY50" s="4"/>
      <c r="MZ50" s="4"/>
      <c r="NA50" s="4"/>
      <c r="NB50" s="4"/>
      <c r="NC50" s="4"/>
      <c r="ND50" s="4"/>
      <c r="NE50" s="4"/>
      <c r="NF50" s="4"/>
      <c r="NG50" s="4"/>
      <c r="NH50" s="4"/>
      <c r="NI50" s="4"/>
      <c r="NJ50" s="4"/>
      <c r="NK50" s="4"/>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c r="PF50" s="4"/>
      <c r="PG50" s="4"/>
      <c r="PH50" s="4"/>
      <c r="PI50" s="4"/>
      <c r="PJ50" s="4"/>
      <c r="PK50" s="4"/>
      <c r="PL50" s="4"/>
      <c r="PM50" s="4"/>
      <c r="PN50" s="4"/>
      <c r="PO50" s="4"/>
      <c r="PP50" s="4"/>
      <c r="PQ50" s="4"/>
      <c r="PR50" s="4"/>
      <c r="PS50" s="4"/>
      <c r="PT50" s="4"/>
      <c r="PU50" s="4"/>
      <c r="PV50" s="4"/>
      <c r="PW50" s="4"/>
      <c r="PX50" s="4"/>
      <c r="PY50" s="4"/>
      <c r="PZ50" s="4"/>
      <c r="QA50" s="4"/>
      <c r="QB50" s="4"/>
      <c r="QC50" s="4"/>
      <c r="QD50" s="4"/>
      <c r="QE50" s="4"/>
      <c r="QF50" s="4"/>
      <c r="QG50" s="4"/>
      <c r="QH50" s="4"/>
      <c r="QI50" s="4"/>
      <c r="QJ50" s="4"/>
      <c r="QK50" s="4"/>
      <c r="QL50" s="4"/>
      <c r="QM50" s="4"/>
      <c r="QN50" s="4"/>
      <c r="QO50" s="4"/>
      <c r="QP50" s="4"/>
      <c r="QQ50" s="4"/>
      <c r="QR50" s="4"/>
      <c r="QS50" s="4"/>
      <c r="QT50" s="4"/>
      <c r="QU50" s="4"/>
      <c r="QV50" s="4"/>
      <c r="QW50" s="4"/>
      <c r="QX50" s="4"/>
      <c r="QY50" s="4"/>
      <c r="QZ50" s="4"/>
      <c r="RA50" s="4"/>
      <c r="RB50" s="4"/>
      <c r="RC50" s="4"/>
      <c r="RD50" s="4"/>
      <c r="RE50" s="4"/>
      <c r="RF50" s="4"/>
      <c r="RG50" s="4"/>
      <c r="RH50" s="4"/>
      <c r="RI50" s="4"/>
      <c r="RJ50" s="4"/>
      <c r="RK50" s="4"/>
      <c r="RL50" s="4"/>
      <c r="RM50" s="4"/>
      <c r="RN50" s="4"/>
      <c r="RO50" s="4"/>
      <c r="RP50" s="4"/>
      <c r="RQ50" s="4"/>
      <c r="RR50" s="4"/>
      <c r="RS50" s="4"/>
      <c r="RT50" s="4"/>
      <c r="RU50" s="4"/>
      <c r="RV50" s="4"/>
      <c r="RW50" s="4"/>
      <c r="RX50" s="4"/>
      <c r="RY50" s="4"/>
      <c r="RZ50" s="4"/>
      <c r="SA50" s="4"/>
      <c r="SB50" s="4"/>
      <c r="SC50" s="4"/>
      <c r="SD50" s="4"/>
      <c r="SE50" s="4"/>
      <c r="SF50" s="4"/>
      <c r="SG50" s="4"/>
      <c r="SH50" s="4"/>
      <c r="SI50" s="4"/>
      <c r="SJ50" s="4"/>
      <c r="SK50" s="4"/>
      <c r="SL50" s="4"/>
      <c r="SM50" s="4"/>
      <c r="SN50" s="4"/>
      <c r="SO50" s="4"/>
      <c r="SP50" s="4"/>
      <c r="SQ50" s="4"/>
      <c r="SR50" s="4"/>
      <c r="SS50" s="4"/>
      <c r="ST50" s="4"/>
      <c r="SU50" s="4"/>
      <c r="SV50" s="4"/>
      <c r="SW50" s="4"/>
      <c r="SX50" s="4"/>
      <c r="SY50" s="4"/>
      <c r="SZ50" s="4"/>
      <c r="TA50" s="4"/>
      <c r="TB50" s="4"/>
      <c r="TC50" s="4"/>
      <c r="TD50" s="4"/>
      <c r="TE50" s="4"/>
      <c r="TF50" s="4"/>
      <c r="TG50" s="4"/>
      <c r="TH50" s="4"/>
      <c r="TI50" s="4"/>
      <c r="TJ50" s="4"/>
      <c r="TK50" s="4"/>
      <c r="TL50" s="4"/>
      <c r="TM50" s="4"/>
      <c r="TN50" s="4"/>
      <c r="TO50" s="4"/>
      <c r="TP50" s="4"/>
      <c r="TQ50" s="4"/>
      <c r="TR50" s="4"/>
      <c r="TS50" s="4"/>
      <c r="TT50" s="4"/>
      <c r="TU50" s="4"/>
      <c r="TV50" s="4"/>
      <c r="TW50" s="4"/>
      <c r="TX50" s="4"/>
      <c r="TY50" s="4"/>
      <c r="TZ50" s="4"/>
      <c r="UA50" s="4"/>
      <c r="UB50" s="4"/>
      <c r="UC50" s="4"/>
      <c r="UD50" s="4"/>
      <c r="UE50" s="4"/>
      <c r="UF50" s="4"/>
      <c r="UG50" s="4"/>
      <c r="UH50" s="4"/>
      <c r="UI50" s="4"/>
      <c r="UJ50" s="4"/>
      <c r="UK50" s="4"/>
      <c r="UL50" s="4"/>
      <c r="UM50" s="4"/>
      <c r="UN50" s="4"/>
      <c r="UO50" s="4"/>
      <c r="UP50" s="4"/>
      <c r="UQ50" s="4"/>
      <c r="UR50" s="4"/>
      <c r="US50" s="4"/>
      <c r="UT50" s="4"/>
      <c r="UU50" s="4"/>
      <c r="UV50" s="4"/>
      <c r="UW50" s="4"/>
      <c r="UX50" s="4"/>
      <c r="UY50" s="4"/>
      <c r="UZ50" s="4"/>
      <c r="VA50" s="4"/>
      <c r="VB50" s="4"/>
      <c r="VC50" s="4"/>
      <c r="VD50" s="4"/>
      <c r="VE50" s="4"/>
      <c r="VF50" s="4"/>
      <c r="VG50" s="4"/>
      <c r="VH50" s="4"/>
      <c r="VI50" s="4"/>
      <c r="VJ50" s="4"/>
      <c r="VK50" s="4"/>
      <c r="VL50" s="4"/>
      <c r="VM50" s="4"/>
      <c r="VN50" s="4"/>
      <c r="VO50" s="4"/>
      <c r="VP50" s="4"/>
      <c r="VQ50" s="4"/>
      <c r="VR50" s="4"/>
      <c r="VS50" s="4"/>
      <c r="VT50" s="4"/>
      <c r="VU50" s="4"/>
      <c r="VV50" s="4"/>
      <c r="VW50" s="4"/>
      <c r="VX50" s="4"/>
      <c r="VY50" s="4"/>
      <c r="VZ50" s="4"/>
      <c r="WA50" s="4"/>
      <c r="WB50" s="4"/>
      <c r="WC50" s="4"/>
      <c r="WD50" s="4"/>
      <c r="WE50" s="4"/>
      <c r="WF50" s="4"/>
      <c r="WG50" s="4"/>
      <c r="WH50" s="4"/>
      <c r="WI50" s="4"/>
      <c r="WJ50" s="4"/>
      <c r="WK50" s="4"/>
      <c r="WL50" s="4"/>
      <c r="WM50" s="4"/>
      <c r="WN50" s="4"/>
      <c r="WO50" s="4"/>
      <c r="WP50" s="4"/>
      <c r="WQ50" s="4"/>
      <c r="WR50" s="4"/>
      <c r="WS50" s="4"/>
      <c r="WT50" s="4"/>
      <c r="WU50" s="4"/>
      <c r="WV50" s="4"/>
      <c r="WW50" s="4"/>
      <c r="WX50" s="4"/>
      <c r="WY50" s="4"/>
      <c r="WZ50" s="4"/>
      <c r="XA50" s="4"/>
      <c r="XB50" s="4"/>
      <c r="XC50" s="4"/>
      <c r="XD50" s="4"/>
      <c r="XE50" s="4"/>
      <c r="XF50" s="4"/>
      <c r="XG50" s="4"/>
      <c r="XH50" s="4"/>
      <c r="XI50" s="4"/>
      <c r="XJ50" s="4"/>
      <c r="XK50" s="4"/>
      <c r="XL50" s="4"/>
      <c r="XM50" s="4"/>
      <c r="XN50" s="4"/>
      <c r="XO50" s="4"/>
      <c r="XP50" s="4"/>
      <c r="XQ50" s="4"/>
      <c r="XR50" s="4"/>
      <c r="XS50" s="4"/>
      <c r="XT50" s="4"/>
      <c r="XU50" s="4"/>
      <c r="XV50" s="4"/>
      <c r="XW50" s="4"/>
      <c r="XX50" s="4"/>
      <c r="XY50" s="4"/>
      <c r="XZ50" s="4"/>
      <c r="YA50" s="4"/>
      <c r="YB50" s="4"/>
      <c r="YC50" s="4"/>
      <c r="YD50" s="4"/>
      <c r="YE50" s="4"/>
      <c r="YF50" s="4"/>
      <c r="YG50" s="4"/>
      <c r="YH50" s="4"/>
      <c r="YI50" s="4"/>
      <c r="YJ50" s="4"/>
      <c r="YK50" s="4"/>
      <c r="YL50" s="4"/>
      <c r="YM50" s="4"/>
      <c r="YN50" s="4"/>
      <c r="YO50" s="4"/>
      <c r="YP50" s="4"/>
      <c r="YQ50" s="4"/>
      <c r="YR50" s="4"/>
      <c r="YS50" s="4"/>
      <c r="YT50" s="4"/>
      <c r="YU50" s="4"/>
      <c r="YV50" s="4"/>
      <c r="YW50" s="4"/>
      <c r="YX50" s="4"/>
      <c r="YY50" s="4"/>
      <c r="YZ50" s="4"/>
      <c r="ZA50" s="4"/>
      <c r="ZB50" s="4"/>
      <c r="ZC50" s="4"/>
      <c r="ZD50" s="4"/>
      <c r="ZE50" s="4"/>
      <c r="ZF50" s="4"/>
      <c r="ZG50" s="4"/>
      <c r="ZH50" s="4"/>
      <c r="ZI50" s="4"/>
      <c r="ZJ50" s="4"/>
      <c r="ZK50" s="4"/>
      <c r="ZL50" s="4"/>
      <c r="ZM50" s="4"/>
      <c r="ZN50" s="4"/>
      <c r="ZO50" s="4"/>
      <c r="ZP50" s="4"/>
      <c r="ZQ50" s="4"/>
      <c r="ZR50" s="4"/>
      <c r="ZS50" s="4"/>
      <c r="ZT50" s="4"/>
      <c r="ZU50" s="4"/>
      <c r="ZV50" s="4"/>
      <c r="ZW50" s="4"/>
      <c r="ZX50" s="4"/>
      <c r="ZY50" s="4"/>
      <c r="ZZ50" s="4"/>
      <c r="AAA50" s="4"/>
      <c r="AAB50" s="4"/>
      <c r="AAC50" s="4"/>
      <c r="AAD50" s="4"/>
      <c r="AAE50" s="4"/>
      <c r="AAF50" s="4"/>
      <c r="AAG50" s="4"/>
      <c r="AAH50" s="4"/>
      <c r="AAI50" s="4"/>
      <c r="AAJ50" s="4"/>
      <c r="AAK50" s="4"/>
      <c r="AAL50" s="4"/>
      <c r="AAM50" s="4"/>
      <c r="AAN50" s="4"/>
      <c r="AAO50" s="4"/>
      <c r="AAP50" s="4"/>
      <c r="AAQ50" s="4"/>
      <c r="AAR50" s="4"/>
      <c r="AAS50" s="4"/>
      <c r="AAT50" s="4"/>
      <c r="AAU50" s="4"/>
      <c r="AAV50" s="4"/>
      <c r="AAW50" s="4"/>
      <c r="AAX50" s="4"/>
      <c r="AAY50" s="4"/>
      <c r="AAZ50" s="4"/>
      <c r="ABA50" s="4"/>
      <c r="ABB50" s="4"/>
      <c r="ABC50" s="4"/>
      <c r="ABD50" s="4"/>
      <c r="ABE50" s="4"/>
      <c r="ABF50" s="4"/>
      <c r="ABG50" s="4"/>
      <c r="ABH50" s="4"/>
      <c r="ABI50" s="4"/>
      <c r="ABJ50" s="4"/>
      <c r="ABK50" s="4"/>
      <c r="ABL50" s="4"/>
      <c r="ABM50" s="4"/>
      <c r="ABN50" s="4"/>
      <c r="ABO50" s="4"/>
      <c r="ABP50" s="4"/>
      <c r="ABQ50" s="4"/>
      <c r="ABR50" s="4"/>
      <c r="ABS50" s="4"/>
      <c r="ABT50" s="4"/>
      <c r="ABU50" s="4"/>
      <c r="ABV50" s="4"/>
      <c r="ABW50" s="4"/>
      <c r="ABX50" s="4"/>
      <c r="ABY50" s="4"/>
      <c r="ABZ50" s="4"/>
      <c r="ACA50" s="4"/>
      <c r="ACB50" s="4"/>
      <c r="ACC50" s="4"/>
      <c r="ACD50" s="4"/>
      <c r="ACE50" s="4"/>
      <c r="ACF50" s="4"/>
      <c r="ACG50" s="4"/>
      <c r="ACH50" s="4"/>
      <c r="ACI50" s="4"/>
      <c r="ACJ50" s="4"/>
      <c r="ACK50" s="4"/>
      <c r="ACL50" s="4"/>
      <c r="ACM50" s="4"/>
      <c r="ACN50" s="4"/>
      <c r="ACO50" s="4"/>
      <c r="ACP50" s="4"/>
      <c r="ACQ50" s="4"/>
      <c r="ACR50" s="4"/>
      <c r="ACS50" s="4"/>
      <c r="ACT50" s="4"/>
      <c r="ACU50" s="4"/>
      <c r="ACV50" s="4"/>
      <c r="ACW50" s="4"/>
      <c r="ACX50" s="4"/>
      <c r="ACY50" s="4"/>
      <c r="ACZ50" s="4"/>
      <c r="ADA50" s="4"/>
      <c r="ADB50" s="4"/>
      <c r="ADC50" s="4"/>
      <c r="ADD50" s="4"/>
      <c r="ADE50" s="4"/>
      <c r="ADF50" s="4"/>
      <c r="ADG50" s="4"/>
      <c r="ADH50" s="4"/>
      <c r="ADI50" s="4"/>
      <c r="ADJ50" s="4"/>
      <c r="ADK50" s="4"/>
      <c r="ADL50" s="4"/>
      <c r="ADM50" s="4"/>
      <c r="ADN50" s="4"/>
      <c r="ADO50" s="4"/>
      <c r="ADP50" s="4"/>
      <c r="ADQ50" s="4"/>
      <c r="ADR50" s="4"/>
      <c r="ADS50" s="4"/>
      <c r="ADT50" s="4"/>
      <c r="ADU50" s="4"/>
      <c r="ADV50" s="4"/>
      <c r="ADW50" s="4"/>
      <c r="ADX50" s="4"/>
      <c r="ADY50" s="4"/>
      <c r="ADZ50" s="4"/>
      <c r="AEA50" s="4"/>
      <c r="AEB50" s="4"/>
      <c r="AEC50" s="4"/>
      <c r="AED50" s="4"/>
      <c r="AEE50" s="4"/>
      <c r="AEF50" s="4"/>
      <c r="AEG50" s="4"/>
      <c r="AEH50" s="4"/>
      <c r="AEI50" s="4"/>
      <c r="AEJ50" s="4"/>
      <c r="AEK50" s="4"/>
      <c r="AEL50" s="4"/>
      <c r="AEM50" s="4"/>
      <c r="AEN50" s="4"/>
      <c r="AEO50" s="4"/>
      <c r="AEP50" s="4"/>
      <c r="AEQ50" s="4"/>
      <c r="AER50" s="4"/>
      <c r="AES50" s="4"/>
      <c r="AET50" s="4"/>
      <c r="AEU50" s="4"/>
      <c r="AEV50" s="4"/>
      <c r="AEW50" s="4"/>
      <c r="AEX50" s="4"/>
      <c r="AEY50" s="4"/>
      <c r="AEZ50" s="4"/>
      <c r="AFA50" s="4"/>
      <c r="AFB50" s="4"/>
      <c r="AFC50" s="4"/>
      <c r="AFD50" s="4"/>
      <c r="AFE50" s="4"/>
      <c r="AFF50" s="4"/>
      <c r="AFG50" s="4"/>
      <c r="AFH50" s="4"/>
      <c r="AFI50" s="4"/>
      <c r="AFJ50" s="4"/>
      <c r="AFK50" s="4"/>
      <c r="AFL50" s="4"/>
      <c r="AFM50" s="4"/>
      <c r="AFN50" s="4"/>
      <c r="AFO50" s="4"/>
      <c r="AFP50" s="4"/>
      <c r="AFQ50" s="4"/>
      <c r="AFR50" s="4"/>
      <c r="AFS50" s="4"/>
      <c r="AFT50" s="4"/>
      <c r="AFU50" s="4"/>
      <c r="AFV50" s="4"/>
      <c r="AFW50" s="4"/>
      <c r="AFX50" s="4"/>
      <c r="AFY50" s="4"/>
      <c r="AFZ50" s="4"/>
      <c r="AGA50" s="4"/>
      <c r="AGB50" s="4"/>
      <c r="AGC50" s="4"/>
      <c r="AGD50" s="4"/>
      <c r="AGE50" s="4"/>
      <c r="AGF50" s="4"/>
      <c r="AGG50" s="4"/>
      <c r="AGH50" s="4"/>
      <c r="AGI50" s="4"/>
      <c r="AGJ50" s="4"/>
      <c r="AGK50" s="4"/>
      <c r="AGL50" s="4"/>
      <c r="AGM50" s="4"/>
      <c r="AGN50" s="4"/>
      <c r="AGO50" s="4"/>
      <c r="AGP50" s="4"/>
      <c r="AGQ50" s="4"/>
      <c r="AGR50" s="4"/>
      <c r="AGS50" s="4"/>
      <c r="AGT50" s="4"/>
      <c r="AGU50" s="4"/>
      <c r="AGV50" s="4"/>
      <c r="AGW50" s="4"/>
      <c r="AGX50" s="4"/>
      <c r="AGY50" s="4"/>
      <c r="AGZ50" s="4"/>
      <c r="AHA50" s="4"/>
      <c r="AHB50" s="4"/>
      <c r="AHC50" s="4"/>
      <c r="AHD50" s="4"/>
      <c r="AHE50" s="4"/>
      <c r="AHF50" s="4"/>
      <c r="AHG50" s="4"/>
      <c r="AHH50" s="4"/>
      <c r="AHI50" s="4"/>
      <c r="AHJ50" s="4"/>
      <c r="AHK50" s="4"/>
      <c r="AHL50" s="4"/>
      <c r="AHM50" s="4"/>
      <c r="AHN50" s="4"/>
      <c r="AHO50" s="4"/>
      <c r="AHP50" s="4"/>
      <c r="AHQ50" s="4"/>
      <c r="AHR50" s="4"/>
      <c r="AHS50" s="4"/>
      <c r="AHT50" s="4"/>
      <c r="AHU50" s="4"/>
      <c r="AHV50" s="4"/>
      <c r="AHW50" s="4"/>
      <c r="AHX50" s="4"/>
      <c r="AHY50" s="4"/>
      <c r="AHZ50" s="4"/>
      <c r="AIA50" s="4"/>
      <c r="AIB50" s="4"/>
      <c r="AIC50" s="4"/>
      <c r="AID50" s="4"/>
      <c r="AIE50" s="4"/>
      <c r="AIF50" s="4"/>
      <c r="AIG50" s="4"/>
      <c r="AIH50" s="4"/>
      <c r="AII50" s="4"/>
      <c r="AIJ50" s="4"/>
      <c r="AIK50" s="4"/>
      <c r="AIL50" s="4"/>
      <c r="AIM50" s="4"/>
      <c r="AIN50" s="4"/>
      <c r="AIO50" s="4"/>
      <c r="AIP50" s="4"/>
      <c r="AIQ50" s="4"/>
      <c r="AIR50" s="4"/>
      <c r="AIS50" s="4"/>
      <c r="AIT50" s="4"/>
      <c r="AIU50" s="4"/>
      <c r="AIV50" s="4"/>
      <c r="AIW50" s="4"/>
      <c r="AIX50" s="4"/>
      <c r="AIY50" s="4"/>
      <c r="AIZ50" s="4"/>
      <c r="AJA50" s="4"/>
      <c r="AJB50" s="4"/>
      <c r="AJC50" s="4"/>
      <c r="AJD50" s="4"/>
      <c r="AJE50" s="4"/>
      <c r="AJF50" s="4"/>
      <c r="AJG50" s="4"/>
      <c r="AJH50" s="4"/>
      <c r="AJI50" s="4"/>
      <c r="AJJ50" s="4"/>
      <c r="AJK50" s="4"/>
      <c r="AJL50" s="4"/>
      <c r="AJM50" s="4"/>
      <c r="AJN50" s="4"/>
      <c r="AJO50" s="4"/>
      <c r="AJP50" s="4"/>
      <c r="AJQ50" s="4"/>
      <c r="AJR50" s="4"/>
      <c r="AJS50" s="4"/>
      <c r="AJT50" s="4"/>
      <c r="AJU50" s="4"/>
      <c r="AJV50" s="4"/>
      <c r="AJW50" s="4"/>
      <c r="AJX50" s="4"/>
      <c r="AJY50" s="4"/>
      <c r="AJZ50" s="4"/>
      <c r="AKA50" s="4"/>
      <c r="AKB50" s="4"/>
      <c r="AKC50" s="4"/>
      <c r="AKD50" s="4"/>
      <c r="AKE50" s="4"/>
      <c r="AKF50" s="4"/>
      <c r="AKG50" s="4"/>
      <c r="AKH50" s="4"/>
      <c r="AKI50" s="4"/>
      <c r="AKJ50" s="4"/>
      <c r="AKK50" s="4"/>
      <c r="AKL50" s="4"/>
      <c r="AKM50" s="4"/>
      <c r="AKN50" s="4"/>
      <c r="AKO50" s="4"/>
      <c r="AKP50" s="4"/>
      <c r="AKQ50" s="4"/>
      <c r="AKR50" s="4"/>
      <c r="AKS50" s="4"/>
      <c r="AKT50" s="4"/>
      <c r="AKU50" s="4"/>
      <c r="AKV50" s="4"/>
      <c r="AKW50" s="4"/>
      <c r="AKX50" s="4"/>
      <c r="AKY50" s="4"/>
      <c r="AKZ50" s="4"/>
      <c r="ALA50" s="4"/>
      <c r="ALB50" s="4"/>
      <c r="ALC50" s="4"/>
      <c r="ALD50" s="4"/>
      <c r="ALE50" s="4"/>
      <c r="ALF50" s="4"/>
      <c r="ALG50" s="4"/>
      <c r="ALH50" s="4"/>
      <c r="ALI50" s="4"/>
      <c r="ALJ50" s="4"/>
      <c r="ALK50" s="4"/>
      <c r="ALL50" s="4"/>
      <c r="ALM50" s="4"/>
      <c r="ALN50" s="4"/>
      <c r="ALO50" s="4"/>
      <c r="ALP50" s="4"/>
      <c r="ALQ50" s="4"/>
      <c r="ALR50" s="4"/>
      <c r="ALS50" s="4"/>
      <c r="ALT50" s="4"/>
      <c r="ALU50" s="4"/>
      <c r="ALV50" s="4"/>
      <c r="ALW50" s="4"/>
      <c r="ALX50" s="4"/>
      <c r="ALY50" s="4"/>
      <c r="ALZ50" s="4"/>
      <c r="AMA50" s="4"/>
      <c r="AMB50" s="4"/>
      <c r="AMC50" s="4"/>
      <c r="AMD50" s="4"/>
      <c r="AME50" s="4"/>
      <c r="AMF50" s="4"/>
    </row>
    <row r="51" spans="1:1020" s="9" customFormat="1" ht="36" customHeight="1" x14ac:dyDescent="0.25">
      <c r="A51" s="147" t="s">
        <v>556</v>
      </c>
      <c r="B51" s="147"/>
      <c r="C51" s="148" t="s">
        <v>1143</v>
      </c>
      <c r="D51" s="149"/>
      <c r="E51" s="149"/>
      <c r="F51" s="149"/>
      <c r="G51" s="149"/>
      <c r="H51" s="150"/>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4"/>
      <c r="NA51" s="4"/>
      <c r="NB51" s="4"/>
      <c r="NC51" s="4"/>
      <c r="ND51" s="4"/>
      <c r="NE51" s="4"/>
      <c r="NF51" s="4"/>
      <c r="NG51" s="4"/>
      <c r="NH51" s="4"/>
      <c r="NI51" s="4"/>
      <c r="NJ51" s="4"/>
      <c r="NK51" s="4"/>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c r="PF51" s="4"/>
      <c r="PG51" s="4"/>
      <c r="PH51" s="4"/>
      <c r="PI51" s="4"/>
      <c r="PJ51" s="4"/>
      <c r="PK51" s="4"/>
      <c r="PL51" s="4"/>
      <c r="PM51" s="4"/>
      <c r="PN51" s="4"/>
      <c r="PO51" s="4"/>
      <c r="PP51" s="4"/>
      <c r="PQ51" s="4"/>
      <c r="PR51" s="4"/>
      <c r="PS51" s="4"/>
      <c r="PT51" s="4"/>
      <c r="PU51" s="4"/>
      <c r="PV51" s="4"/>
      <c r="PW51" s="4"/>
      <c r="PX51" s="4"/>
      <c r="PY51" s="4"/>
      <c r="PZ51" s="4"/>
      <c r="QA51" s="4"/>
      <c r="QB51" s="4"/>
      <c r="QC51" s="4"/>
      <c r="QD51" s="4"/>
      <c r="QE51" s="4"/>
      <c r="QF51" s="4"/>
      <c r="QG51" s="4"/>
      <c r="QH51" s="4"/>
      <c r="QI51" s="4"/>
      <c r="QJ51" s="4"/>
      <c r="QK51" s="4"/>
      <c r="QL51" s="4"/>
      <c r="QM51" s="4"/>
      <c r="QN51" s="4"/>
      <c r="QO51" s="4"/>
      <c r="QP51" s="4"/>
      <c r="QQ51" s="4"/>
      <c r="QR51" s="4"/>
      <c r="QS51" s="4"/>
      <c r="QT51" s="4"/>
      <c r="QU51" s="4"/>
      <c r="QV51" s="4"/>
      <c r="QW51" s="4"/>
      <c r="QX51" s="4"/>
      <c r="QY51" s="4"/>
      <c r="QZ51" s="4"/>
      <c r="RA51" s="4"/>
      <c r="RB51" s="4"/>
      <c r="RC51" s="4"/>
      <c r="RD51" s="4"/>
      <c r="RE51" s="4"/>
      <c r="RF51" s="4"/>
      <c r="RG51" s="4"/>
      <c r="RH51" s="4"/>
      <c r="RI51" s="4"/>
      <c r="RJ51" s="4"/>
      <c r="RK51" s="4"/>
      <c r="RL51" s="4"/>
      <c r="RM51" s="4"/>
      <c r="RN51" s="4"/>
      <c r="RO51" s="4"/>
      <c r="RP51" s="4"/>
      <c r="RQ51" s="4"/>
      <c r="RR51" s="4"/>
      <c r="RS51" s="4"/>
      <c r="RT51" s="4"/>
      <c r="RU51" s="4"/>
      <c r="RV51" s="4"/>
      <c r="RW51" s="4"/>
      <c r="RX51" s="4"/>
      <c r="RY51" s="4"/>
      <c r="RZ51" s="4"/>
      <c r="SA51" s="4"/>
      <c r="SB51" s="4"/>
      <c r="SC51" s="4"/>
      <c r="SD51" s="4"/>
      <c r="SE51" s="4"/>
      <c r="SF51" s="4"/>
      <c r="SG51" s="4"/>
      <c r="SH51" s="4"/>
      <c r="SI51" s="4"/>
      <c r="SJ51" s="4"/>
      <c r="SK51" s="4"/>
      <c r="SL51" s="4"/>
      <c r="SM51" s="4"/>
      <c r="SN51" s="4"/>
      <c r="SO51" s="4"/>
      <c r="SP51" s="4"/>
      <c r="SQ51" s="4"/>
      <c r="SR51" s="4"/>
      <c r="SS51" s="4"/>
      <c r="ST51" s="4"/>
      <c r="SU51" s="4"/>
      <c r="SV51" s="4"/>
      <c r="SW51" s="4"/>
      <c r="SX51" s="4"/>
      <c r="SY51" s="4"/>
      <c r="SZ51" s="4"/>
      <c r="TA51" s="4"/>
      <c r="TB51" s="4"/>
      <c r="TC51" s="4"/>
      <c r="TD51" s="4"/>
      <c r="TE51" s="4"/>
      <c r="TF51" s="4"/>
      <c r="TG51" s="4"/>
      <c r="TH51" s="4"/>
      <c r="TI51" s="4"/>
      <c r="TJ51" s="4"/>
      <c r="TK51" s="4"/>
      <c r="TL51" s="4"/>
      <c r="TM51" s="4"/>
      <c r="TN51" s="4"/>
      <c r="TO51" s="4"/>
      <c r="TP51" s="4"/>
      <c r="TQ51" s="4"/>
      <c r="TR51" s="4"/>
      <c r="TS51" s="4"/>
      <c r="TT51" s="4"/>
      <c r="TU51" s="4"/>
      <c r="TV51" s="4"/>
      <c r="TW51" s="4"/>
      <c r="TX51" s="4"/>
      <c r="TY51" s="4"/>
      <c r="TZ51" s="4"/>
      <c r="UA51" s="4"/>
      <c r="UB51" s="4"/>
      <c r="UC51" s="4"/>
      <c r="UD51" s="4"/>
      <c r="UE51" s="4"/>
      <c r="UF51" s="4"/>
      <c r="UG51" s="4"/>
      <c r="UH51" s="4"/>
      <c r="UI51" s="4"/>
      <c r="UJ51" s="4"/>
      <c r="UK51" s="4"/>
      <c r="UL51" s="4"/>
      <c r="UM51" s="4"/>
      <c r="UN51" s="4"/>
      <c r="UO51" s="4"/>
      <c r="UP51" s="4"/>
      <c r="UQ51" s="4"/>
      <c r="UR51" s="4"/>
      <c r="US51" s="4"/>
      <c r="UT51" s="4"/>
      <c r="UU51" s="4"/>
      <c r="UV51" s="4"/>
      <c r="UW51" s="4"/>
      <c r="UX51" s="4"/>
      <c r="UY51" s="4"/>
      <c r="UZ51" s="4"/>
      <c r="VA51" s="4"/>
      <c r="VB51" s="4"/>
      <c r="VC51" s="4"/>
      <c r="VD51" s="4"/>
      <c r="VE51" s="4"/>
      <c r="VF51" s="4"/>
      <c r="VG51" s="4"/>
      <c r="VH51" s="4"/>
      <c r="VI51" s="4"/>
      <c r="VJ51" s="4"/>
      <c r="VK51" s="4"/>
      <c r="VL51" s="4"/>
      <c r="VM51" s="4"/>
      <c r="VN51" s="4"/>
      <c r="VO51" s="4"/>
      <c r="VP51" s="4"/>
      <c r="VQ51" s="4"/>
      <c r="VR51" s="4"/>
      <c r="VS51" s="4"/>
      <c r="VT51" s="4"/>
      <c r="VU51" s="4"/>
      <c r="VV51" s="4"/>
      <c r="VW51" s="4"/>
      <c r="VX51" s="4"/>
      <c r="VY51" s="4"/>
      <c r="VZ51" s="4"/>
      <c r="WA51" s="4"/>
      <c r="WB51" s="4"/>
      <c r="WC51" s="4"/>
      <c r="WD51" s="4"/>
      <c r="WE51" s="4"/>
      <c r="WF51" s="4"/>
      <c r="WG51" s="4"/>
      <c r="WH51" s="4"/>
      <c r="WI51" s="4"/>
      <c r="WJ51" s="4"/>
      <c r="WK51" s="4"/>
      <c r="WL51" s="4"/>
      <c r="WM51" s="4"/>
      <c r="WN51" s="4"/>
      <c r="WO51" s="4"/>
      <c r="WP51" s="4"/>
      <c r="WQ51" s="4"/>
      <c r="WR51" s="4"/>
      <c r="WS51" s="4"/>
      <c r="WT51" s="4"/>
      <c r="WU51" s="4"/>
      <c r="WV51" s="4"/>
      <c r="WW51" s="4"/>
      <c r="WX51" s="4"/>
      <c r="WY51" s="4"/>
      <c r="WZ51" s="4"/>
      <c r="XA51" s="4"/>
      <c r="XB51" s="4"/>
      <c r="XC51" s="4"/>
      <c r="XD51" s="4"/>
      <c r="XE51" s="4"/>
      <c r="XF51" s="4"/>
      <c r="XG51" s="4"/>
      <c r="XH51" s="4"/>
      <c r="XI51" s="4"/>
      <c r="XJ51" s="4"/>
      <c r="XK51" s="4"/>
      <c r="XL51" s="4"/>
      <c r="XM51" s="4"/>
      <c r="XN51" s="4"/>
      <c r="XO51" s="4"/>
      <c r="XP51" s="4"/>
      <c r="XQ51" s="4"/>
      <c r="XR51" s="4"/>
      <c r="XS51" s="4"/>
      <c r="XT51" s="4"/>
      <c r="XU51" s="4"/>
      <c r="XV51" s="4"/>
      <c r="XW51" s="4"/>
      <c r="XX51" s="4"/>
      <c r="XY51" s="4"/>
      <c r="XZ51" s="4"/>
      <c r="YA51" s="4"/>
      <c r="YB51" s="4"/>
      <c r="YC51" s="4"/>
      <c r="YD51" s="4"/>
      <c r="YE51" s="4"/>
      <c r="YF51" s="4"/>
      <c r="YG51" s="4"/>
      <c r="YH51" s="4"/>
      <c r="YI51" s="4"/>
      <c r="YJ51" s="4"/>
      <c r="YK51" s="4"/>
      <c r="YL51" s="4"/>
      <c r="YM51" s="4"/>
      <c r="YN51" s="4"/>
      <c r="YO51" s="4"/>
      <c r="YP51" s="4"/>
      <c r="YQ51" s="4"/>
      <c r="YR51" s="4"/>
      <c r="YS51" s="4"/>
      <c r="YT51" s="4"/>
      <c r="YU51" s="4"/>
      <c r="YV51" s="4"/>
      <c r="YW51" s="4"/>
      <c r="YX51" s="4"/>
      <c r="YY51" s="4"/>
      <c r="YZ51" s="4"/>
      <c r="ZA51" s="4"/>
      <c r="ZB51" s="4"/>
      <c r="ZC51" s="4"/>
      <c r="ZD51" s="4"/>
      <c r="ZE51" s="4"/>
      <c r="ZF51" s="4"/>
      <c r="ZG51" s="4"/>
      <c r="ZH51" s="4"/>
      <c r="ZI51" s="4"/>
      <c r="ZJ51" s="4"/>
      <c r="ZK51" s="4"/>
      <c r="ZL51" s="4"/>
      <c r="ZM51" s="4"/>
      <c r="ZN51" s="4"/>
      <c r="ZO51" s="4"/>
      <c r="ZP51" s="4"/>
      <c r="ZQ51" s="4"/>
      <c r="ZR51" s="4"/>
      <c r="ZS51" s="4"/>
      <c r="ZT51" s="4"/>
      <c r="ZU51" s="4"/>
      <c r="ZV51" s="4"/>
      <c r="ZW51" s="4"/>
      <c r="ZX51" s="4"/>
      <c r="ZY51" s="4"/>
      <c r="ZZ51" s="4"/>
      <c r="AAA51" s="4"/>
      <c r="AAB51" s="4"/>
      <c r="AAC51" s="4"/>
      <c r="AAD51" s="4"/>
      <c r="AAE51" s="4"/>
      <c r="AAF51" s="4"/>
      <c r="AAG51" s="4"/>
      <c r="AAH51" s="4"/>
      <c r="AAI51" s="4"/>
      <c r="AAJ51" s="4"/>
      <c r="AAK51" s="4"/>
      <c r="AAL51" s="4"/>
      <c r="AAM51" s="4"/>
      <c r="AAN51" s="4"/>
      <c r="AAO51" s="4"/>
      <c r="AAP51" s="4"/>
      <c r="AAQ51" s="4"/>
      <c r="AAR51" s="4"/>
      <c r="AAS51" s="4"/>
      <c r="AAT51" s="4"/>
      <c r="AAU51" s="4"/>
      <c r="AAV51" s="4"/>
      <c r="AAW51" s="4"/>
      <c r="AAX51" s="4"/>
      <c r="AAY51" s="4"/>
      <c r="AAZ51" s="4"/>
      <c r="ABA51" s="4"/>
      <c r="ABB51" s="4"/>
      <c r="ABC51" s="4"/>
      <c r="ABD51" s="4"/>
      <c r="ABE51" s="4"/>
      <c r="ABF51" s="4"/>
      <c r="ABG51" s="4"/>
      <c r="ABH51" s="4"/>
      <c r="ABI51" s="4"/>
      <c r="ABJ51" s="4"/>
      <c r="ABK51" s="4"/>
      <c r="ABL51" s="4"/>
      <c r="ABM51" s="4"/>
      <c r="ABN51" s="4"/>
      <c r="ABO51" s="4"/>
      <c r="ABP51" s="4"/>
      <c r="ABQ51" s="4"/>
      <c r="ABR51" s="4"/>
      <c r="ABS51" s="4"/>
      <c r="ABT51" s="4"/>
      <c r="ABU51" s="4"/>
      <c r="ABV51" s="4"/>
      <c r="ABW51" s="4"/>
      <c r="ABX51" s="4"/>
      <c r="ABY51" s="4"/>
      <c r="ABZ51" s="4"/>
      <c r="ACA51" s="4"/>
      <c r="ACB51" s="4"/>
      <c r="ACC51" s="4"/>
      <c r="ACD51" s="4"/>
      <c r="ACE51" s="4"/>
      <c r="ACF51" s="4"/>
      <c r="ACG51" s="4"/>
      <c r="ACH51" s="4"/>
      <c r="ACI51" s="4"/>
      <c r="ACJ51" s="4"/>
      <c r="ACK51" s="4"/>
      <c r="ACL51" s="4"/>
      <c r="ACM51" s="4"/>
      <c r="ACN51" s="4"/>
      <c r="ACO51" s="4"/>
      <c r="ACP51" s="4"/>
      <c r="ACQ51" s="4"/>
      <c r="ACR51" s="4"/>
      <c r="ACS51" s="4"/>
      <c r="ACT51" s="4"/>
      <c r="ACU51" s="4"/>
      <c r="ACV51" s="4"/>
      <c r="ACW51" s="4"/>
      <c r="ACX51" s="4"/>
      <c r="ACY51" s="4"/>
      <c r="ACZ51" s="4"/>
      <c r="ADA51" s="4"/>
      <c r="ADB51" s="4"/>
      <c r="ADC51" s="4"/>
      <c r="ADD51" s="4"/>
      <c r="ADE51" s="4"/>
      <c r="ADF51" s="4"/>
      <c r="ADG51" s="4"/>
      <c r="ADH51" s="4"/>
      <c r="ADI51" s="4"/>
      <c r="ADJ51" s="4"/>
      <c r="ADK51" s="4"/>
      <c r="ADL51" s="4"/>
      <c r="ADM51" s="4"/>
      <c r="ADN51" s="4"/>
      <c r="ADO51" s="4"/>
      <c r="ADP51" s="4"/>
      <c r="ADQ51" s="4"/>
      <c r="ADR51" s="4"/>
      <c r="ADS51" s="4"/>
      <c r="ADT51" s="4"/>
      <c r="ADU51" s="4"/>
      <c r="ADV51" s="4"/>
      <c r="ADW51" s="4"/>
      <c r="ADX51" s="4"/>
      <c r="ADY51" s="4"/>
      <c r="ADZ51" s="4"/>
      <c r="AEA51" s="4"/>
      <c r="AEB51" s="4"/>
      <c r="AEC51" s="4"/>
      <c r="AED51" s="4"/>
      <c r="AEE51" s="4"/>
      <c r="AEF51" s="4"/>
      <c r="AEG51" s="4"/>
      <c r="AEH51" s="4"/>
      <c r="AEI51" s="4"/>
      <c r="AEJ51" s="4"/>
      <c r="AEK51" s="4"/>
      <c r="AEL51" s="4"/>
      <c r="AEM51" s="4"/>
      <c r="AEN51" s="4"/>
      <c r="AEO51" s="4"/>
      <c r="AEP51" s="4"/>
      <c r="AEQ51" s="4"/>
      <c r="AER51" s="4"/>
      <c r="AES51" s="4"/>
      <c r="AET51" s="4"/>
      <c r="AEU51" s="4"/>
      <c r="AEV51" s="4"/>
      <c r="AEW51" s="4"/>
      <c r="AEX51" s="4"/>
      <c r="AEY51" s="4"/>
      <c r="AEZ51" s="4"/>
      <c r="AFA51" s="4"/>
      <c r="AFB51" s="4"/>
      <c r="AFC51" s="4"/>
      <c r="AFD51" s="4"/>
      <c r="AFE51" s="4"/>
      <c r="AFF51" s="4"/>
      <c r="AFG51" s="4"/>
      <c r="AFH51" s="4"/>
      <c r="AFI51" s="4"/>
      <c r="AFJ51" s="4"/>
      <c r="AFK51" s="4"/>
      <c r="AFL51" s="4"/>
      <c r="AFM51" s="4"/>
      <c r="AFN51" s="4"/>
      <c r="AFO51" s="4"/>
      <c r="AFP51" s="4"/>
      <c r="AFQ51" s="4"/>
      <c r="AFR51" s="4"/>
      <c r="AFS51" s="4"/>
      <c r="AFT51" s="4"/>
      <c r="AFU51" s="4"/>
      <c r="AFV51" s="4"/>
      <c r="AFW51" s="4"/>
      <c r="AFX51" s="4"/>
      <c r="AFY51" s="4"/>
      <c r="AFZ51" s="4"/>
      <c r="AGA51" s="4"/>
      <c r="AGB51" s="4"/>
      <c r="AGC51" s="4"/>
      <c r="AGD51" s="4"/>
      <c r="AGE51" s="4"/>
      <c r="AGF51" s="4"/>
      <c r="AGG51" s="4"/>
      <c r="AGH51" s="4"/>
      <c r="AGI51" s="4"/>
      <c r="AGJ51" s="4"/>
      <c r="AGK51" s="4"/>
      <c r="AGL51" s="4"/>
      <c r="AGM51" s="4"/>
      <c r="AGN51" s="4"/>
      <c r="AGO51" s="4"/>
      <c r="AGP51" s="4"/>
      <c r="AGQ51" s="4"/>
      <c r="AGR51" s="4"/>
      <c r="AGS51" s="4"/>
      <c r="AGT51" s="4"/>
      <c r="AGU51" s="4"/>
      <c r="AGV51" s="4"/>
      <c r="AGW51" s="4"/>
      <c r="AGX51" s="4"/>
      <c r="AGY51" s="4"/>
      <c r="AGZ51" s="4"/>
      <c r="AHA51" s="4"/>
      <c r="AHB51" s="4"/>
      <c r="AHC51" s="4"/>
      <c r="AHD51" s="4"/>
      <c r="AHE51" s="4"/>
      <c r="AHF51" s="4"/>
      <c r="AHG51" s="4"/>
      <c r="AHH51" s="4"/>
      <c r="AHI51" s="4"/>
      <c r="AHJ51" s="4"/>
      <c r="AHK51" s="4"/>
      <c r="AHL51" s="4"/>
      <c r="AHM51" s="4"/>
      <c r="AHN51" s="4"/>
      <c r="AHO51" s="4"/>
      <c r="AHP51" s="4"/>
      <c r="AHQ51" s="4"/>
      <c r="AHR51" s="4"/>
      <c r="AHS51" s="4"/>
      <c r="AHT51" s="4"/>
      <c r="AHU51" s="4"/>
      <c r="AHV51" s="4"/>
      <c r="AHW51" s="4"/>
      <c r="AHX51" s="4"/>
      <c r="AHY51" s="4"/>
      <c r="AHZ51" s="4"/>
      <c r="AIA51" s="4"/>
      <c r="AIB51" s="4"/>
      <c r="AIC51" s="4"/>
      <c r="AID51" s="4"/>
      <c r="AIE51" s="4"/>
      <c r="AIF51" s="4"/>
      <c r="AIG51" s="4"/>
      <c r="AIH51" s="4"/>
      <c r="AII51" s="4"/>
      <c r="AIJ51" s="4"/>
      <c r="AIK51" s="4"/>
      <c r="AIL51" s="4"/>
      <c r="AIM51" s="4"/>
      <c r="AIN51" s="4"/>
      <c r="AIO51" s="4"/>
      <c r="AIP51" s="4"/>
      <c r="AIQ51" s="4"/>
      <c r="AIR51" s="4"/>
      <c r="AIS51" s="4"/>
      <c r="AIT51" s="4"/>
      <c r="AIU51" s="4"/>
      <c r="AIV51" s="4"/>
      <c r="AIW51" s="4"/>
      <c r="AIX51" s="4"/>
      <c r="AIY51" s="4"/>
      <c r="AIZ51" s="4"/>
      <c r="AJA51" s="4"/>
      <c r="AJB51" s="4"/>
      <c r="AJC51" s="4"/>
      <c r="AJD51" s="4"/>
      <c r="AJE51" s="4"/>
      <c r="AJF51" s="4"/>
      <c r="AJG51" s="4"/>
      <c r="AJH51" s="4"/>
      <c r="AJI51" s="4"/>
      <c r="AJJ51" s="4"/>
      <c r="AJK51" s="4"/>
      <c r="AJL51" s="4"/>
      <c r="AJM51" s="4"/>
      <c r="AJN51" s="4"/>
      <c r="AJO51" s="4"/>
      <c r="AJP51" s="4"/>
      <c r="AJQ51" s="4"/>
      <c r="AJR51" s="4"/>
      <c r="AJS51" s="4"/>
      <c r="AJT51" s="4"/>
      <c r="AJU51" s="4"/>
      <c r="AJV51" s="4"/>
      <c r="AJW51" s="4"/>
      <c r="AJX51" s="4"/>
      <c r="AJY51" s="4"/>
      <c r="AJZ51" s="4"/>
      <c r="AKA51" s="4"/>
      <c r="AKB51" s="4"/>
      <c r="AKC51" s="4"/>
      <c r="AKD51" s="4"/>
      <c r="AKE51" s="4"/>
      <c r="AKF51" s="4"/>
      <c r="AKG51" s="4"/>
      <c r="AKH51" s="4"/>
      <c r="AKI51" s="4"/>
      <c r="AKJ51" s="4"/>
      <c r="AKK51" s="4"/>
      <c r="AKL51" s="4"/>
      <c r="AKM51" s="4"/>
      <c r="AKN51" s="4"/>
      <c r="AKO51" s="4"/>
      <c r="AKP51" s="4"/>
      <c r="AKQ51" s="4"/>
      <c r="AKR51" s="4"/>
      <c r="AKS51" s="4"/>
      <c r="AKT51" s="4"/>
      <c r="AKU51" s="4"/>
      <c r="AKV51" s="4"/>
      <c r="AKW51" s="4"/>
      <c r="AKX51" s="4"/>
      <c r="AKY51" s="4"/>
      <c r="AKZ51" s="4"/>
      <c r="ALA51" s="4"/>
      <c r="ALB51" s="4"/>
      <c r="ALC51" s="4"/>
      <c r="ALD51" s="4"/>
      <c r="ALE51" s="4"/>
      <c r="ALF51" s="4"/>
      <c r="ALG51" s="4"/>
      <c r="ALH51" s="4"/>
      <c r="ALI51" s="4"/>
      <c r="ALJ51" s="4"/>
      <c r="ALK51" s="4"/>
      <c r="ALL51" s="4"/>
      <c r="ALM51" s="4"/>
      <c r="ALN51" s="4"/>
      <c r="ALO51" s="4"/>
      <c r="ALP51" s="4"/>
      <c r="ALQ51" s="4"/>
      <c r="ALR51" s="4"/>
      <c r="ALS51" s="4"/>
      <c r="ALT51" s="4"/>
      <c r="ALU51" s="4"/>
      <c r="ALV51" s="4"/>
      <c r="ALW51" s="4"/>
      <c r="ALX51" s="4"/>
      <c r="ALY51" s="4"/>
      <c r="ALZ51" s="4"/>
      <c r="AMA51" s="4"/>
      <c r="AMB51" s="4"/>
      <c r="AMC51" s="4"/>
      <c r="AMD51" s="4"/>
      <c r="AME51" s="4"/>
      <c r="AMF51" s="4"/>
    </row>
    <row r="52" spans="1:1020" s="9" customFormat="1" ht="62.25" customHeight="1" x14ac:dyDescent="0.25">
      <c r="A52" s="147" t="s">
        <v>528</v>
      </c>
      <c r="B52" s="147"/>
      <c r="C52" s="148" t="s">
        <v>1144</v>
      </c>
      <c r="D52" s="149"/>
      <c r="E52" s="149"/>
      <c r="F52" s="149"/>
      <c r="G52" s="149"/>
      <c r="H52" s="150"/>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c r="PF52" s="4"/>
      <c r="PG52" s="4"/>
      <c r="PH52" s="4"/>
      <c r="PI52" s="4"/>
      <c r="PJ52" s="4"/>
      <c r="PK52" s="4"/>
      <c r="PL52" s="4"/>
      <c r="PM52" s="4"/>
      <c r="PN52" s="4"/>
      <c r="PO52" s="4"/>
      <c r="PP52" s="4"/>
      <c r="PQ52" s="4"/>
      <c r="PR52" s="4"/>
      <c r="PS52" s="4"/>
      <c r="PT52" s="4"/>
      <c r="PU52" s="4"/>
      <c r="PV52" s="4"/>
      <c r="PW52" s="4"/>
      <c r="PX52" s="4"/>
      <c r="PY52" s="4"/>
      <c r="PZ52" s="4"/>
      <c r="QA52" s="4"/>
      <c r="QB52" s="4"/>
      <c r="QC52" s="4"/>
      <c r="QD52" s="4"/>
      <c r="QE52" s="4"/>
      <c r="QF52" s="4"/>
      <c r="QG52" s="4"/>
      <c r="QH52" s="4"/>
      <c r="QI52" s="4"/>
      <c r="QJ52" s="4"/>
      <c r="QK52" s="4"/>
      <c r="QL52" s="4"/>
      <c r="QM52" s="4"/>
      <c r="QN52" s="4"/>
      <c r="QO52" s="4"/>
      <c r="QP52" s="4"/>
      <c r="QQ52" s="4"/>
      <c r="QR52" s="4"/>
      <c r="QS52" s="4"/>
      <c r="QT52" s="4"/>
      <c r="QU52" s="4"/>
      <c r="QV52" s="4"/>
      <c r="QW52" s="4"/>
      <c r="QX52" s="4"/>
      <c r="QY52" s="4"/>
      <c r="QZ52" s="4"/>
      <c r="RA52" s="4"/>
      <c r="RB52" s="4"/>
      <c r="RC52" s="4"/>
      <c r="RD52" s="4"/>
      <c r="RE52" s="4"/>
      <c r="RF52" s="4"/>
      <c r="RG52" s="4"/>
      <c r="RH52" s="4"/>
      <c r="RI52" s="4"/>
      <c r="RJ52" s="4"/>
      <c r="RK52" s="4"/>
      <c r="RL52" s="4"/>
      <c r="RM52" s="4"/>
      <c r="RN52" s="4"/>
      <c r="RO52" s="4"/>
      <c r="RP52" s="4"/>
      <c r="RQ52" s="4"/>
      <c r="RR52" s="4"/>
      <c r="RS52" s="4"/>
      <c r="RT52" s="4"/>
      <c r="RU52" s="4"/>
      <c r="RV52" s="4"/>
      <c r="RW52" s="4"/>
      <c r="RX52" s="4"/>
      <c r="RY52" s="4"/>
      <c r="RZ52" s="4"/>
      <c r="SA52" s="4"/>
      <c r="SB52" s="4"/>
      <c r="SC52" s="4"/>
      <c r="SD52" s="4"/>
      <c r="SE52" s="4"/>
      <c r="SF52" s="4"/>
      <c r="SG52" s="4"/>
      <c r="SH52" s="4"/>
      <c r="SI52" s="4"/>
      <c r="SJ52" s="4"/>
      <c r="SK52" s="4"/>
      <c r="SL52" s="4"/>
      <c r="SM52" s="4"/>
      <c r="SN52" s="4"/>
      <c r="SO52" s="4"/>
      <c r="SP52" s="4"/>
      <c r="SQ52" s="4"/>
      <c r="SR52" s="4"/>
      <c r="SS52" s="4"/>
      <c r="ST52" s="4"/>
      <c r="SU52" s="4"/>
      <c r="SV52" s="4"/>
      <c r="SW52" s="4"/>
      <c r="SX52" s="4"/>
      <c r="SY52" s="4"/>
      <c r="SZ52" s="4"/>
      <c r="TA52" s="4"/>
      <c r="TB52" s="4"/>
      <c r="TC52" s="4"/>
      <c r="TD52" s="4"/>
      <c r="TE52" s="4"/>
      <c r="TF52" s="4"/>
      <c r="TG52" s="4"/>
      <c r="TH52" s="4"/>
      <c r="TI52" s="4"/>
      <c r="TJ52" s="4"/>
      <c r="TK52" s="4"/>
      <c r="TL52" s="4"/>
      <c r="TM52" s="4"/>
      <c r="TN52" s="4"/>
      <c r="TO52" s="4"/>
      <c r="TP52" s="4"/>
      <c r="TQ52" s="4"/>
      <c r="TR52" s="4"/>
      <c r="TS52" s="4"/>
      <c r="TT52" s="4"/>
      <c r="TU52" s="4"/>
      <c r="TV52" s="4"/>
      <c r="TW52" s="4"/>
      <c r="TX52" s="4"/>
      <c r="TY52" s="4"/>
      <c r="TZ52" s="4"/>
      <c r="UA52" s="4"/>
      <c r="UB52" s="4"/>
      <c r="UC52" s="4"/>
      <c r="UD52" s="4"/>
      <c r="UE52" s="4"/>
      <c r="UF52" s="4"/>
      <c r="UG52" s="4"/>
      <c r="UH52" s="4"/>
      <c r="UI52" s="4"/>
      <c r="UJ52" s="4"/>
      <c r="UK52" s="4"/>
      <c r="UL52" s="4"/>
      <c r="UM52" s="4"/>
      <c r="UN52" s="4"/>
      <c r="UO52" s="4"/>
      <c r="UP52" s="4"/>
      <c r="UQ52" s="4"/>
      <c r="UR52" s="4"/>
      <c r="US52" s="4"/>
      <c r="UT52" s="4"/>
      <c r="UU52" s="4"/>
      <c r="UV52" s="4"/>
      <c r="UW52" s="4"/>
      <c r="UX52" s="4"/>
      <c r="UY52" s="4"/>
      <c r="UZ52" s="4"/>
      <c r="VA52" s="4"/>
      <c r="VB52" s="4"/>
      <c r="VC52" s="4"/>
      <c r="VD52" s="4"/>
      <c r="VE52" s="4"/>
      <c r="VF52" s="4"/>
      <c r="VG52" s="4"/>
      <c r="VH52" s="4"/>
      <c r="VI52" s="4"/>
      <c r="VJ52" s="4"/>
      <c r="VK52" s="4"/>
      <c r="VL52" s="4"/>
      <c r="VM52" s="4"/>
      <c r="VN52" s="4"/>
      <c r="VO52" s="4"/>
      <c r="VP52" s="4"/>
      <c r="VQ52" s="4"/>
      <c r="VR52" s="4"/>
      <c r="VS52" s="4"/>
      <c r="VT52" s="4"/>
      <c r="VU52" s="4"/>
      <c r="VV52" s="4"/>
      <c r="VW52" s="4"/>
      <c r="VX52" s="4"/>
      <c r="VY52" s="4"/>
      <c r="VZ52" s="4"/>
      <c r="WA52" s="4"/>
      <c r="WB52" s="4"/>
      <c r="WC52" s="4"/>
      <c r="WD52" s="4"/>
      <c r="WE52" s="4"/>
      <c r="WF52" s="4"/>
      <c r="WG52" s="4"/>
      <c r="WH52" s="4"/>
      <c r="WI52" s="4"/>
      <c r="WJ52" s="4"/>
      <c r="WK52" s="4"/>
      <c r="WL52" s="4"/>
      <c r="WM52" s="4"/>
      <c r="WN52" s="4"/>
      <c r="WO52" s="4"/>
      <c r="WP52" s="4"/>
      <c r="WQ52" s="4"/>
      <c r="WR52" s="4"/>
      <c r="WS52" s="4"/>
      <c r="WT52" s="4"/>
      <c r="WU52" s="4"/>
      <c r="WV52" s="4"/>
      <c r="WW52" s="4"/>
      <c r="WX52" s="4"/>
      <c r="WY52" s="4"/>
      <c r="WZ52" s="4"/>
      <c r="XA52" s="4"/>
      <c r="XB52" s="4"/>
      <c r="XC52" s="4"/>
      <c r="XD52" s="4"/>
      <c r="XE52" s="4"/>
      <c r="XF52" s="4"/>
      <c r="XG52" s="4"/>
      <c r="XH52" s="4"/>
      <c r="XI52" s="4"/>
      <c r="XJ52" s="4"/>
      <c r="XK52" s="4"/>
      <c r="XL52" s="4"/>
      <c r="XM52" s="4"/>
      <c r="XN52" s="4"/>
      <c r="XO52" s="4"/>
      <c r="XP52" s="4"/>
      <c r="XQ52" s="4"/>
      <c r="XR52" s="4"/>
      <c r="XS52" s="4"/>
      <c r="XT52" s="4"/>
      <c r="XU52" s="4"/>
      <c r="XV52" s="4"/>
      <c r="XW52" s="4"/>
      <c r="XX52" s="4"/>
      <c r="XY52" s="4"/>
      <c r="XZ52" s="4"/>
      <c r="YA52" s="4"/>
      <c r="YB52" s="4"/>
      <c r="YC52" s="4"/>
      <c r="YD52" s="4"/>
      <c r="YE52" s="4"/>
      <c r="YF52" s="4"/>
      <c r="YG52" s="4"/>
      <c r="YH52" s="4"/>
      <c r="YI52" s="4"/>
      <c r="YJ52" s="4"/>
      <c r="YK52" s="4"/>
      <c r="YL52" s="4"/>
      <c r="YM52" s="4"/>
      <c r="YN52" s="4"/>
      <c r="YO52" s="4"/>
      <c r="YP52" s="4"/>
      <c r="YQ52" s="4"/>
      <c r="YR52" s="4"/>
      <c r="YS52" s="4"/>
      <c r="YT52" s="4"/>
      <c r="YU52" s="4"/>
      <c r="YV52" s="4"/>
      <c r="YW52" s="4"/>
      <c r="YX52" s="4"/>
      <c r="YY52" s="4"/>
      <c r="YZ52" s="4"/>
      <c r="ZA52" s="4"/>
      <c r="ZB52" s="4"/>
      <c r="ZC52" s="4"/>
      <c r="ZD52" s="4"/>
      <c r="ZE52" s="4"/>
      <c r="ZF52" s="4"/>
      <c r="ZG52" s="4"/>
      <c r="ZH52" s="4"/>
      <c r="ZI52" s="4"/>
      <c r="ZJ52" s="4"/>
      <c r="ZK52" s="4"/>
      <c r="ZL52" s="4"/>
      <c r="ZM52" s="4"/>
      <c r="ZN52" s="4"/>
      <c r="ZO52" s="4"/>
      <c r="ZP52" s="4"/>
      <c r="ZQ52" s="4"/>
      <c r="ZR52" s="4"/>
      <c r="ZS52" s="4"/>
      <c r="ZT52" s="4"/>
      <c r="ZU52" s="4"/>
      <c r="ZV52" s="4"/>
      <c r="ZW52" s="4"/>
      <c r="ZX52" s="4"/>
      <c r="ZY52" s="4"/>
      <c r="ZZ52" s="4"/>
      <c r="AAA52" s="4"/>
      <c r="AAB52" s="4"/>
      <c r="AAC52" s="4"/>
      <c r="AAD52" s="4"/>
      <c r="AAE52" s="4"/>
      <c r="AAF52" s="4"/>
      <c r="AAG52" s="4"/>
      <c r="AAH52" s="4"/>
      <c r="AAI52" s="4"/>
      <c r="AAJ52" s="4"/>
      <c r="AAK52" s="4"/>
      <c r="AAL52" s="4"/>
      <c r="AAM52" s="4"/>
      <c r="AAN52" s="4"/>
      <c r="AAO52" s="4"/>
      <c r="AAP52" s="4"/>
      <c r="AAQ52" s="4"/>
      <c r="AAR52" s="4"/>
      <c r="AAS52" s="4"/>
      <c r="AAT52" s="4"/>
      <c r="AAU52" s="4"/>
      <c r="AAV52" s="4"/>
      <c r="AAW52" s="4"/>
      <c r="AAX52" s="4"/>
      <c r="AAY52" s="4"/>
      <c r="AAZ52" s="4"/>
      <c r="ABA52" s="4"/>
      <c r="ABB52" s="4"/>
      <c r="ABC52" s="4"/>
      <c r="ABD52" s="4"/>
      <c r="ABE52" s="4"/>
      <c r="ABF52" s="4"/>
      <c r="ABG52" s="4"/>
      <c r="ABH52" s="4"/>
      <c r="ABI52" s="4"/>
      <c r="ABJ52" s="4"/>
      <c r="ABK52" s="4"/>
      <c r="ABL52" s="4"/>
      <c r="ABM52" s="4"/>
      <c r="ABN52" s="4"/>
      <c r="ABO52" s="4"/>
      <c r="ABP52" s="4"/>
      <c r="ABQ52" s="4"/>
      <c r="ABR52" s="4"/>
      <c r="ABS52" s="4"/>
      <c r="ABT52" s="4"/>
      <c r="ABU52" s="4"/>
      <c r="ABV52" s="4"/>
      <c r="ABW52" s="4"/>
      <c r="ABX52" s="4"/>
      <c r="ABY52" s="4"/>
      <c r="ABZ52" s="4"/>
      <c r="ACA52" s="4"/>
      <c r="ACB52" s="4"/>
      <c r="ACC52" s="4"/>
      <c r="ACD52" s="4"/>
      <c r="ACE52" s="4"/>
      <c r="ACF52" s="4"/>
      <c r="ACG52" s="4"/>
      <c r="ACH52" s="4"/>
      <c r="ACI52" s="4"/>
      <c r="ACJ52" s="4"/>
      <c r="ACK52" s="4"/>
      <c r="ACL52" s="4"/>
      <c r="ACM52" s="4"/>
      <c r="ACN52" s="4"/>
      <c r="ACO52" s="4"/>
      <c r="ACP52" s="4"/>
      <c r="ACQ52" s="4"/>
      <c r="ACR52" s="4"/>
      <c r="ACS52" s="4"/>
      <c r="ACT52" s="4"/>
      <c r="ACU52" s="4"/>
      <c r="ACV52" s="4"/>
      <c r="ACW52" s="4"/>
      <c r="ACX52" s="4"/>
      <c r="ACY52" s="4"/>
      <c r="ACZ52" s="4"/>
      <c r="ADA52" s="4"/>
      <c r="ADB52" s="4"/>
      <c r="ADC52" s="4"/>
      <c r="ADD52" s="4"/>
      <c r="ADE52" s="4"/>
      <c r="ADF52" s="4"/>
      <c r="ADG52" s="4"/>
      <c r="ADH52" s="4"/>
      <c r="ADI52" s="4"/>
      <c r="ADJ52" s="4"/>
      <c r="ADK52" s="4"/>
      <c r="ADL52" s="4"/>
      <c r="ADM52" s="4"/>
      <c r="ADN52" s="4"/>
      <c r="ADO52" s="4"/>
      <c r="ADP52" s="4"/>
      <c r="ADQ52" s="4"/>
      <c r="ADR52" s="4"/>
      <c r="ADS52" s="4"/>
      <c r="ADT52" s="4"/>
      <c r="ADU52" s="4"/>
      <c r="ADV52" s="4"/>
      <c r="ADW52" s="4"/>
      <c r="ADX52" s="4"/>
      <c r="ADY52" s="4"/>
      <c r="ADZ52" s="4"/>
      <c r="AEA52" s="4"/>
      <c r="AEB52" s="4"/>
      <c r="AEC52" s="4"/>
      <c r="AED52" s="4"/>
      <c r="AEE52" s="4"/>
      <c r="AEF52" s="4"/>
      <c r="AEG52" s="4"/>
      <c r="AEH52" s="4"/>
      <c r="AEI52" s="4"/>
      <c r="AEJ52" s="4"/>
      <c r="AEK52" s="4"/>
      <c r="AEL52" s="4"/>
      <c r="AEM52" s="4"/>
      <c r="AEN52" s="4"/>
      <c r="AEO52" s="4"/>
      <c r="AEP52" s="4"/>
      <c r="AEQ52" s="4"/>
      <c r="AER52" s="4"/>
      <c r="AES52" s="4"/>
      <c r="AET52" s="4"/>
      <c r="AEU52" s="4"/>
      <c r="AEV52" s="4"/>
      <c r="AEW52" s="4"/>
      <c r="AEX52" s="4"/>
      <c r="AEY52" s="4"/>
      <c r="AEZ52" s="4"/>
      <c r="AFA52" s="4"/>
      <c r="AFB52" s="4"/>
      <c r="AFC52" s="4"/>
      <c r="AFD52" s="4"/>
      <c r="AFE52" s="4"/>
      <c r="AFF52" s="4"/>
      <c r="AFG52" s="4"/>
      <c r="AFH52" s="4"/>
      <c r="AFI52" s="4"/>
      <c r="AFJ52" s="4"/>
      <c r="AFK52" s="4"/>
      <c r="AFL52" s="4"/>
      <c r="AFM52" s="4"/>
      <c r="AFN52" s="4"/>
      <c r="AFO52" s="4"/>
      <c r="AFP52" s="4"/>
      <c r="AFQ52" s="4"/>
      <c r="AFR52" s="4"/>
      <c r="AFS52" s="4"/>
      <c r="AFT52" s="4"/>
      <c r="AFU52" s="4"/>
      <c r="AFV52" s="4"/>
      <c r="AFW52" s="4"/>
      <c r="AFX52" s="4"/>
      <c r="AFY52" s="4"/>
      <c r="AFZ52" s="4"/>
      <c r="AGA52" s="4"/>
      <c r="AGB52" s="4"/>
      <c r="AGC52" s="4"/>
      <c r="AGD52" s="4"/>
      <c r="AGE52" s="4"/>
      <c r="AGF52" s="4"/>
      <c r="AGG52" s="4"/>
      <c r="AGH52" s="4"/>
      <c r="AGI52" s="4"/>
      <c r="AGJ52" s="4"/>
      <c r="AGK52" s="4"/>
      <c r="AGL52" s="4"/>
      <c r="AGM52" s="4"/>
      <c r="AGN52" s="4"/>
      <c r="AGO52" s="4"/>
      <c r="AGP52" s="4"/>
      <c r="AGQ52" s="4"/>
      <c r="AGR52" s="4"/>
      <c r="AGS52" s="4"/>
      <c r="AGT52" s="4"/>
      <c r="AGU52" s="4"/>
      <c r="AGV52" s="4"/>
      <c r="AGW52" s="4"/>
      <c r="AGX52" s="4"/>
      <c r="AGY52" s="4"/>
      <c r="AGZ52" s="4"/>
      <c r="AHA52" s="4"/>
      <c r="AHB52" s="4"/>
      <c r="AHC52" s="4"/>
      <c r="AHD52" s="4"/>
      <c r="AHE52" s="4"/>
      <c r="AHF52" s="4"/>
      <c r="AHG52" s="4"/>
      <c r="AHH52" s="4"/>
      <c r="AHI52" s="4"/>
      <c r="AHJ52" s="4"/>
      <c r="AHK52" s="4"/>
      <c r="AHL52" s="4"/>
      <c r="AHM52" s="4"/>
      <c r="AHN52" s="4"/>
      <c r="AHO52" s="4"/>
      <c r="AHP52" s="4"/>
      <c r="AHQ52" s="4"/>
      <c r="AHR52" s="4"/>
      <c r="AHS52" s="4"/>
      <c r="AHT52" s="4"/>
      <c r="AHU52" s="4"/>
      <c r="AHV52" s="4"/>
      <c r="AHW52" s="4"/>
      <c r="AHX52" s="4"/>
      <c r="AHY52" s="4"/>
      <c r="AHZ52" s="4"/>
      <c r="AIA52" s="4"/>
      <c r="AIB52" s="4"/>
      <c r="AIC52" s="4"/>
      <c r="AID52" s="4"/>
      <c r="AIE52" s="4"/>
      <c r="AIF52" s="4"/>
      <c r="AIG52" s="4"/>
      <c r="AIH52" s="4"/>
      <c r="AII52" s="4"/>
      <c r="AIJ52" s="4"/>
      <c r="AIK52" s="4"/>
      <c r="AIL52" s="4"/>
      <c r="AIM52" s="4"/>
      <c r="AIN52" s="4"/>
      <c r="AIO52" s="4"/>
      <c r="AIP52" s="4"/>
      <c r="AIQ52" s="4"/>
      <c r="AIR52" s="4"/>
      <c r="AIS52" s="4"/>
      <c r="AIT52" s="4"/>
      <c r="AIU52" s="4"/>
      <c r="AIV52" s="4"/>
      <c r="AIW52" s="4"/>
      <c r="AIX52" s="4"/>
      <c r="AIY52" s="4"/>
      <c r="AIZ52" s="4"/>
      <c r="AJA52" s="4"/>
      <c r="AJB52" s="4"/>
      <c r="AJC52" s="4"/>
      <c r="AJD52" s="4"/>
      <c r="AJE52" s="4"/>
      <c r="AJF52" s="4"/>
      <c r="AJG52" s="4"/>
      <c r="AJH52" s="4"/>
      <c r="AJI52" s="4"/>
      <c r="AJJ52" s="4"/>
      <c r="AJK52" s="4"/>
      <c r="AJL52" s="4"/>
      <c r="AJM52" s="4"/>
      <c r="AJN52" s="4"/>
      <c r="AJO52" s="4"/>
      <c r="AJP52" s="4"/>
      <c r="AJQ52" s="4"/>
      <c r="AJR52" s="4"/>
      <c r="AJS52" s="4"/>
      <c r="AJT52" s="4"/>
      <c r="AJU52" s="4"/>
      <c r="AJV52" s="4"/>
      <c r="AJW52" s="4"/>
      <c r="AJX52" s="4"/>
      <c r="AJY52" s="4"/>
      <c r="AJZ52" s="4"/>
      <c r="AKA52" s="4"/>
      <c r="AKB52" s="4"/>
      <c r="AKC52" s="4"/>
      <c r="AKD52" s="4"/>
      <c r="AKE52" s="4"/>
      <c r="AKF52" s="4"/>
      <c r="AKG52" s="4"/>
      <c r="AKH52" s="4"/>
      <c r="AKI52" s="4"/>
      <c r="AKJ52" s="4"/>
      <c r="AKK52" s="4"/>
      <c r="AKL52" s="4"/>
      <c r="AKM52" s="4"/>
      <c r="AKN52" s="4"/>
      <c r="AKO52" s="4"/>
      <c r="AKP52" s="4"/>
      <c r="AKQ52" s="4"/>
      <c r="AKR52" s="4"/>
      <c r="AKS52" s="4"/>
      <c r="AKT52" s="4"/>
      <c r="AKU52" s="4"/>
      <c r="AKV52" s="4"/>
      <c r="AKW52" s="4"/>
      <c r="AKX52" s="4"/>
      <c r="AKY52" s="4"/>
      <c r="AKZ52" s="4"/>
      <c r="ALA52" s="4"/>
      <c r="ALB52" s="4"/>
      <c r="ALC52" s="4"/>
      <c r="ALD52" s="4"/>
      <c r="ALE52" s="4"/>
      <c r="ALF52" s="4"/>
      <c r="ALG52" s="4"/>
      <c r="ALH52" s="4"/>
      <c r="ALI52" s="4"/>
      <c r="ALJ52" s="4"/>
      <c r="ALK52" s="4"/>
      <c r="ALL52" s="4"/>
      <c r="ALM52" s="4"/>
      <c r="ALN52" s="4"/>
      <c r="ALO52" s="4"/>
      <c r="ALP52" s="4"/>
      <c r="ALQ52" s="4"/>
      <c r="ALR52" s="4"/>
      <c r="ALS52" s="4"/>
      <c r="ALT52" s="4"/>
      <c r="ALU52" s="4"/>
      <c r="ALV52" s="4"/>
      <c r="ALW52" s="4"/>
      <c r="ALX52" s="4"/>
      <c r="ALY52" s="4"/>
      <c r="ALZ52" s="4"/>
      <c r="AMA52" s="4"/>
      <c r="AMB52" s="4"/>
      <c r="AMC52" s="4"/>
      <c r="AMD52" s="4"/>
      <c r="AME52" s="4"/>
      <c r="AMF52" s="4"/>
    </row>
    <row r="53" spans="1:1020" s="9" customFormat="1" ht="36" customHeight="1" x14ac:dyDescent="0.25">
      <c r="A53" s="147" t="s">
        <v>566</v>
      </c>
      <c r="B53" s="147"/>
      <c r="C53" s="148" t="s">
        <v>1145</v>
      </c>
      <c r="D53" s="149"/>
      <c r="E53" s="149"/>
      <c r="F53" s="149"/>
      <c r="G53" s="149"/>
      <c r="H53" s="150"/>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c r="RQ53" s="4"/>
      <c r="RR53" s="4"/>
      <c r="RS53" s="4"/>
      <c r="RT53" s="4"/>
      <c r="RU53" s="4"/>
      <c r="RV53" s="4"/>
      <c r="RW53" s="4"/>
      <c r="RX53" s="4"/>
      <c r="RY53" s="4"/>
      <c r="RZ53" s="4"/>
      <c r="SA53" s="4"/>
      <c r="SB53" s="4"/>
      <c r="SC53" s="4"/>
      <c r="SD53" s="4"/>
      <c r="SE53" s="4"/>
      <c r="SF53" s="4"/>
      <c r="SG53" s="4"/>
      <c r="SH53" s="4"/>
      <c r="SI53" s="4"/>
      <c r="SJ53" s="4"/>
      <c r="SK53" s="4"/>
      <c r="SL53" s="4"/>
      <c r="SM53" s="4"/>
      <c r="SN53" s="4"/>
      <c r="SO53" s="4"/>
      <c r="SP53" s="4"/>
      <c r="SQ53" s="4"/>
      <c r="SR53" s="4"/>
      <c r="SS53" s="4"/>
      <c r="ST53" s="4"/>
      <c r="SU53" s="4"/>
      <c r="SV53" s="4"/>
      <c r="SW53" s="4"/>
      <c r="SX53" s="4"/>
      <c r="SY53" s="4"/>
      <c r="SZ53" s="4"/>
      <c r="TA53" s="4"/>
      <c r="TB53" s="4"/>
      <c r="TC53" s="4"/>
      <c r="TD53" s="4"/>
      <c r="TE53" s="4"/>
      <c r="TF53" s="4"/>
      <c r="TG53" s="4"/>
      <c r="TH53" s="4"/>
      <c r="TI53" s="4"/>
      <c r="TJ53" s="4"/>
      <c r="TK53" s="4"/>
      <c r="TL53" s="4"/>
      <c r="TM53" s="4"/>
      <c r="TN53" s="4"/>
      <c r="TO53" s="4"/>
      <c r="TP53" s="4"/>
      <c r="TQ53" s="4"/>
      <c r="TR53" s="4"/>
      <c r="TS53" s="4"/>
      <c r="TT53" s="4"/>
      <c r="TU53" s="4"/>
      <c r="TV53" s="4"/>
      <c r="TW53" s="4"/>
      <c r="TX53" s="4"/>
      <c r="TY53" s="4"/>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c r="VC53" s="4"/>
      <c r="VD53" s="4"/>
      <c r="VE53" s="4"/>
      <c r="VF53" s="4"/>
      <c r="VG53" s="4"/>
      <c r="VH53" s="4"/>
      <c r="VI53" s="4"/>
      <c r="VJ53" s="4"/>
      <c r="VK53" s="4"/>
      <c r="VL53" s="4"/>
      <c r="VM53" s="4"/>
      <c r="VN53" s="4"/>
      <c r="VO53" s="4"/>
      <c r="VP53" s="4"/>
      <c r="VQ53" s="4"/>
      <c r="VR53" s="4"/>
      <c r="VS53" s="4"/>
      <c r="VT53" s="4"/>
      <c r="VU53" s="4"/>
      <c r="VV53" s="4"/>
      <c r="VW53" s="4"/>
      <c r="VX53" s="4"/>
      <c r="VY53" s="4"/>
      <c r="VZ53" s="4"/>
      <c r="WA53" s="4"/>
      <c r="WB53" s="4"/>
      <c r="WC53" s="4"/>
      <c r="WD53" s="4"/>
      <c r="WE53" s="4"/>
      <c r="WF53" s="4"/>
      <c r="WG53" s="4"/>
      <c r="WH53" s="4"/>
      <c r="WI53" s="4"/>
      <c r="WJ53" s="4"/>
      <c r="WK53" s="4"/>
      <c r="WL53" s="4"/>
      <c r="WM53" s="4"/>
      <c r="WN53" s="4"/>
      <c r="WO53" s="4"/>
      <c r="WP53" s="4"/>
      <c r="WQ53" s="4"/>
      <c r="WR53" s="4"/>
      <c r="WS53" s="4"/>
      <c r="WT53" s="4"/>
      <c r="WU53" s="4"/>
      <c r="WV53" s="4"/>
      <c r="WW53" s="4"/>
      <c r="WX53" s="4"/>
      <c r="WY53" s="4"/>
      <c r="WZ53" s="4"/>
      <c r="XA53" s="4"/>
      <c r="XB53" s="4"/>
      <c r="XC53" s="4"/>
      <c r="XD53" s="4"/>
      <c r="XE53" s="4"/>
      <c r="XF53" s="4"/>
      <c r="XG53" s="4"/>
      <c r="XH53" s="4"/>
      <c r="XI53" s="4"/>
      <c r="XJ53" s="4"/>
      <c r="XK53" s="4"/>
      <c r="XL53" s="4"/>
      <c r="XM53" s="4"/>
      <c r="XN53" s="4"/>
      <c r="XO53" s="4"/>
      <c r="XP53" s="4"/>
      <c r="XQ53" s="4"/>
      <c r="XR53" s="4"/>
      <c r="XS53" s="4"/>
      <c r="XT53" s="4"/>
      <c r="XU53" s="4"/>
      <c r="XV53" s="4"/>
      <c r="XW53" s="4"/>
      <c r="XX53" s="4"/>
      <c r="XY53" s="4"/>
      <c r="XZ53" s="4"/>
      <c r="YA53" s="4"/>
      <c r="YB53" s="4"/>
      <c r="YC53" s="4"/>
      <c r="YD53" s="4"/>
      <c r="YE53" s="4"/>
      <c r="YF53" s="4"/>
      <c r="YG53" s="4"/>
      <c r="YH53" s="4"/>
      <c r="YI53" s="4"/>
      <c r="YJ53" s="4"/>
      <c r="YK53" s="4"/>
      <c r="YL53" s="4"/>
      <c r="YM53" s="4"/>
      <c r="YN53" s="4"/>
      <c r="YO53" s="4"/>
      <c r="YP53" s="4"/>
      <c r="YQ53" s="4"/>
      <c r="YR53" s="4"/>
      <c r="YS53" s="4"/>
      <c r="YT53" s="4"/>
      <c r="YU53" s="4"/>
      <c r="YV53" s="4"/>
      <c r="YW53" s="4"/>
      <c r="YX53" s="4"/>
      <c r="YY53" s="4"/>
      <c r="YZ53" s="4"/>
      <c r="ZA53" s="4"/>
      <c r="ZB53" s="4"/>
      <c r="ZC53" s="4"/>
      <c r="ZD53" s="4"/>
      <c r="ZE53" s="4"/>
      <c r="ZF53" s="4"/>
      <c r="ZG53" s="4"/>
      <c r="ZH53" s="4"/>
      <c r="ZI53" s="4"/>
      <c r="ZJ53" s="4"/>
      <c r="ZK53" s="4"/>
      <c r="ZL53" s="4"/>
      <c r="ZM53" s="4"/>
      <c r="ZN53" s="4"/>
      <c r="ZO53" s="4"/>
      <c r="ZP53" s="4"/>
      <c r="ZQ53" s="4"/>
      <c r="ZR53" s="4"/>
      <c r="ZS53" s="4"/>
      <c r="ZT53" s="4"/>
      <c r="ZU53" s="4"/>
      <c r="ZV53" s="4"/>
      <c r="ZW53" s="4"/>
      <c r="ZX53" s="4"/>
      <c r="ZY53" s="4"/>
      <c r="ZZ53" s="4"/>
      <c r="AAA53" s="4"/>
      <c r="AAB53" s="4"/>
      <c r="AAC53" s="4"/>
      <c r="AAD53" s="4"/>
      <c r="AAE53" s="4"/>
      <c r="AAF53" s="4"/>
      <c r="AAG53" s="4"/>
      <c r="AAH53" s="4"/>
      <c r="AAI53" s="4"/>
      <c r="AAJ53" s="4"/>
      <c r="AAK53" s="4"/>
      <c r="AAL53" s="4"/>
      <c r="AAM53" s="4"/>
      <c r="AAN53" s="4"/>
      <c r="AAO53" s="4"/>
      <c r="AAP53" s="4"/>
      <c r="AAQ53" s="4"/>
      <c r="AAR53" s="4"/>
      <c r="AAS53" s="4"/>
      <c r="AAT53" s="4"/>
      <c r="AAU53" s="4"/>
      <c r="AAV53" s="4"/>
      <c r="AAW53" s="4"/>
      <c r="AAX53" s="4"/>
      <c r="AAY53" s="4"/>
      <c r="AAZ53" s="4"/>
      <c r="ABA53" s="4"/>
      <c r="ABB53" s="4"/>
      <c r="ABC53" s="4"/>
      <c r="ABD53" s="4"/>
      <c r="ABE53" s="4"/>
      <c r="ABF53" s="4"/>
      <c r="ABG53" s="4"/>
      <c r="ABH53" s="4"/>
      <c r="ABI53" s="4"/>
      <c r="ABJ53" s="4"/>
      <c r="ABK53" s="4"/>
      <c r="ABL53" s="4"/>
      <c r="ABM53" s="4"/>
      <c r="ABN53" s="4"/>
      <c r="ABO53" s="4"/>
      <c r="ABP53" s="4"/>
      <c r="ABQ53" s="4"/>
      <c r="ABR53" s="4"/>
      <c r="ABS53" s="4"/>
      <c r="ABT53" s="4"/>
      <c r="ABU53" s="4"/>
      <c r="ABV53" s="4"/>
      <c r="ABW53" s="4"/>
      <c r="ABX53" s="4"/>
      <c r="ABY53" s="4"/>
      <c r="ABZ53" s="4"/>
      <c r="ACA53" s="4"/>
      <c r="ACB53" s="4"/>
      <c r="ACC53" s="4"/>
      <c r="ACD53" s="4"/>
      <c r="ACE53" s="4"/>
      <c r="ACF53" s="4"/>
      <c r="ACG53" s="4"/>
      <c r="ACH53" s="4"/>
      <c r="ACI53" s="4"/>
      <c r="ACJ53" s="4"/>
      <c r="ACK53" s="4"/>
      <c r="ACL53" s="4"/>
      <c r="ACM53" s="4"/>
      <c r="ACN53" s="4"/>
      <c r="ACO53" s="4"/>
      <c r="ACP53" s="4"/>
      <c r="ACQ53" s="4"/>
      <c r="ACR53" s="4"/>
      <c r="ACS53" s="4"/>
      <c r="ACT53" s="4"/>
      <c r="ACU53" s="4"/>
      <c r="ACV53" s="4"/>
      <c r="ACW53" s="4"/>
      <c r="ACX53" s="4"/>
      <c r="ACY53" s="4"/>
      <c r="ACZ53" s="4"/>
      <c r="ADA53" s="4"/>
      <c r="ADB53" s="4"/>
      <c r="ADC53" s="4"/>
      <c r="ADD53" s="4"/>
      <c r="ADE53" s="4"/>
      <c r="ADF53" s="4"/>
      <c r="ADG53" s="4"/>
      <c r="ADH53" s="4"/>
      <c r="ADI53" s="4"/>
      <c r="ADJ53" s="4"/>
      <c r="ADK53" s="4"/>
      <c r="ADL53" s="4"/>
      <c r="ADM53" s="4"/>
      <c r="ADN53" s="4"/>
      <c r="ADO53" s="4"/>
      <c r="ADP53" s="4"/>
      <c r="ADQ53" s="4"/>
      <c r="ADR53" s="4"/>
      <c r="ADS53" s="4"/>
      <c r="ADT53" s="4"/>
      <c r="ADU53" s="4"/>
      <c r="ADV53" s="4"/>
      <c r="ADW53" s="4"/>
      <c r="ADX53" s="4"/>
      <c r="ADY53" s="4"/>
      <c r="ADZ53" s="4"/>
      <c r="AEA53" s="4"/>
      <c r="AEB53" s="4"/>
      <c r="AEC53" s="4"/>
      <c r="AED53" s="4"/>
      <c r="AEE53" s="4"/>
      <c r="AEF53" s="4"/>
      <c r="AEG53" s="4"/>
      <c r="AEH53" s="4"/>
      <c r="AEI53" s="4"/>
      <c r="AEJ53" s="4"/>
      <c r="AEK53" s="4"/>
      <c r="AEL53" s="4"/>
      <c r="AEM53" s="4"/>
      <c r="AEN53" s="4"/>
      <c r="AEO53" s="4"/>
      <c r="AEP53" s="4"/>
      <c r="AEQ53" s="4"/>
      <c r="AER53" s="4"/>
      <c r="AES53" s="4"/>
      <c r="AET53" s="4"/>
      <c r="AEU53" s="4"/>
      <c r="AEV53" s="4"/>
      <c r="AEW53" s="4"/>
      <c r="AEX53" s="4"/>
      <c r="AEY53" s="4"/>
      <c r="AEZ53" s="4"/>
      <c r="AFA53" s="4"/>
      <c r="AFB53" s="4"/>
      <c r="AFC53" s="4"/>
      <c r="AFD53" s="4"/>
      <c r="AFE53" s="4"/>
      <c r="AFF53" s="4"/>
      <c r="AFG53" s="4"/>
      <c r="AFH53" s="4"/>
      <c r="AFI53" s="4"/>
      <c r="AFJ53" s="4"/>
      <c r="AFK53" s="4"/>
      <c r="AFL53" s="4"/>
      <c r="AFM53" s="4"/>
      <c r="AFN53" s="4"/>
      <c r="AFO53" s="4"/>
      <c r="AFP53" s="4"/>
      <c r="AFQ53" s="4"/>
      <c r="AFR53" s="4"/>
      <c r="AFS53" s="4"/>
      <c r="AFT53" s="4"/>
      <c r="AFU53" s="4"/>
      <c r="AFV53" s="4"/>
      <c r="AFW53" s="4"/>
      <c r="AFX53" s="4"/>
      <c r="AFY53" s="4"/>
      <c r="AFZ53" s="4"/>
      <c r="AGA53" s="4"/>
      <c r="AGB53" s="4"/>
      <c r="AGC53" s="4"/>
      <c r="AGD53" s="4"/>
      <c r="AGE53" s="4"/>
      <c r="AGF53" s="4"/>
      <c r="AGG53" s="4"/>
      <c r="AGH53" s="4"/>
      <c r="AGI53" s="4"/>
      <c r="AGJ53" s="4"/>
      <c r="AGK53" s="4"/>
      <c r="AGL53" s="4"/>
      <c r="AGM53" s="4"/>
      <c r="AGN53" s="4"/>
      <c r="AGO53" s="4"/>
      <c r="AGP53" s="4"/>
      <c r="AGQ53" s="4"/>
      <c r="AGR53" s="4"/>
      <c r="AGS53" s="4"/>
      <c r="AGT53" s="4"/>
      <c r="AGU53" s="4"/>
      <c r="AGV53" s="4"/>
      <c r="AGW53" s="4"/>
      <c r="AGX53" s="4"/>
      <c r="AGY53" s="4"/>
      <c r="AGZ53" s="4"/>
      <c r="AHA53" s="4"/>
      <c r="AHB53" s="4"/>
      <c r="AHC53" s="4"/>
      <c r="AHD53" s="4"/>
      <c r="AHE53" s="4"/>
      <c r="AHF53" s="4"/>
      <c r="AHG53" s="4"/>
      <c r="AHH53" s="4"/>
      <c r="AHI53" s="4"/>
      <c r="AHJ53" s="4"/>
      <c r="AHK53" s="4"/>
      <c r="AHL53" s="4"/>
      <c r="AHM53" s="4"/>
      <c r="AHN53" s="4"/>
      <c r="AHO53" s="4"/>
      <c r="AHP53" s="4"/>
      <c r="AHQ53" s="4"/>
      <c r="AHR53" s="4"/>
      <c r="AHS53" s="4"/>
      <c r="AHT53" s="4"/>
      <c r="AHU53" s="4"/>
      <c r="AHV53" s="4"/>
      <c r="AHW53" s="4"/>
      <c r="AHX53" s="4"/>
      <c r="AHY53" s="4"/>
      <c r="AHZ53" s="4"/>
      <c r="AIA53" s="4"/>
      <c r="AIB53" s="4"/>
      <c r="AIC53" s="4"/>
      <c r="AID53" s="4"/>
      <c r="AIE53" s="4"/>
      <c r="AIF53" s="4"/>
      <c r="AIG53" s="4"/>
      <c r="AIH53" s="4"/>
      <c r="AII53" s="4"/>
      <c r="AIJ53" s="4"/>
      <c r="AIK53" s="4"/>
      <c r="AIL53" s="4"/>
      <c r="AIM53" s="4"/>
      <c r="AIN53" s="4"/>
      <c r="AIO53" s="4"/>
      <c r="AIP53" s="4"/>
      <c r="AIQ53" s="4"/>
      <c r="AIR53" s="4"/>
      <c r="AIS53" s="4"/>
      <c r="AIT53" s="4"/>
      <c r="AIU53" s="4"/>
      <c r="AIV53" s="4"/>
      <c r="AIW53" s="4"/>
      <c r="AIX53" s="4"/>
      <c r="AIY53" s="4"/>
      <c r="AIZ53" s="4"/>
      <c r="AJA53" s="4"/>
      <c r="AJB53" s="4"/>
      <c r="AJC53" s="4"/>
      <c r="AJD53" s="4"/>
      <c r="AJE53" s="4"/>
      <c r="AJF53" s="4"/>
      <c r="AJG53" s="4"/>
      <c r="AJH53" s="4"/>
      <c r="AJI53" s="4"/>
      <c r="AJJ53" s="4"/>
      <c r="AJK53" s="4"/>
      <c r="AJL53" s="4"/>
      <c r="AJM53" s="4"/>
      <c r="AJN53" s="4"/>
      <c r="AJO53" s="4"/>
      <c r="AJP53" s="4"/>
      <c r="AJQ53" s="4"/>
      <c r="AJR53" s="4"/>
      <c r="AJS53" s="4"/>
      <c r="AJT53" s="4"/>
      <c r="AJU53" s="4"/>
      <c r="AJV53" s="4"/>
      <c r="AJW53" s="4"/>
      <c r="AJX53" s="4"/>
      <c r="AJY53" s="4"/>
      <c r="AJZ53" s="4"/>
      <c r="AKA53" s="4"/>
      <c r="AKB53" s="4"/>
      <c r="AKC53" s="4"/>
      <c r="AKD53" s="4"/>
      <c r="AKE53" s="4"/>
      <c r="AKF53" s="4"/>
      <c r="AKG53" s="4"/>
      <c r="AKH53" s="4"/>
      <c r="AKI53" s="4"/>
      <c r="AKJ53" s="4"/>
      <c r="AKK53" s="4"/>
      <c r="AKL53" s="4"/>
      <c r="AKM53" s="4"/>
      <c r="AKN53" s="4"/>
      <c r="AKO53" s="4"/>
      <c r="AKP53" s="4"/>
      <c r="AKQ53" s="4"/>
      <c r="AKR53" s="4"/>
      <c r="AKS53" s="4"/>
      <c r="AKT53" s="4"/>
      <c r="AKU53" s="4"/>
      <c r="AKV53" s="4"/>
      <c r="AKW53" s="4"/>
      <c r="AKX53" s="4"/>
      <c r="AKY53" s="4"/>
      <c r="AKZ53" s="4"/>
      <c r="ALA53" s="4"/>
      <c r="ALB53" s="4"/>
      <c r="ALC53" s="4"/>
      <c r="ALD53" s="4"/>
      <c r="ALE53" s="4"/>
      <c r="ALF53" s="4"/>
      <c r="ALG53" s="4"/>
      <c r="ALH53" s="4"/>
      <c r="ALI53" s="4"/>
      <c r="ALJ53" s="4"/>
      <c r="ALK53" s="4"/>
      <c r="ALL53" s="4"/>
      <c r="ALM53" s="4"/>
      <c r="ALN53" s="4"/>
      <c r="ALO53" s="4"/>
      <c r="ALP53" s="4"/>
      <c r="ALQ53" s="4"/>
      <c r="ALR53" s="4"/>
      <c r="ALS53" s="4"/>
      <c r="ALT53" s="4"/>
      <c r="ALU53" s="4"/>
      <c r="ALV53" s="4"/>
      <c r="ALW53" s="4"/>
      <c r="ALX53" s="4"/>
      <c r="ALY53" s="4"/>
      <c r="ALZ53" s="4"/>
      <c r="AMA53" s="4"/>
      <c r="AMB53" s="4"/>
      <c r="AMC53" s="4"/>
      <c r="AMD53" s="4"/>
      <c r="AME53" s="4"/>
      <c r="AMF53" s="4"/>
    </row>
    <row r="54" spans="1:1020" s="9" customFormat="1" ht="36" customHeight="1" x14ac:dyDescent="0.25">
      <c r="A54" s="147" t="s">
        <v>523</v>
      </c>
      <c r="B54" s="147"/>
      <c r="C54" s="148" t="s">
        <v>1146</v>
      </c>
      <c r="D54" s="149"/>
      <c r="E54" s="149"/>
      <c r="F54" s="149"/>
      <c r="G54" s="149"/>
      <c r="H54" s="150"/>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c r="PF54" s="4"/>
      <c r="PG54" s="4"/>
      <c r="PH54" s="4"/>
      <c r="PI54" s="4"/>
      <c r="PJ54" s="4"/>
      <c r="PK54" s="4"/>
      <c r="PL54" s="4"/>
      <c r="PM54" s="4"/>
      <c r="PN54" s="4"/>
      <c r="PO54" s="4"/>
      <c r="PP54" s="4"/>
      <c r="PQ54" s="4"/>
      <c r="PR54" s="4"/>
      <c r="PS54" s="4"/>
      <c r="PT54" s="4"/>
      <c r="PU54" s="4"/>
      <c r="PV54" s="4"/>
      <c r="PW54" s="4"/>
      <c r="PX54" s="4"/>
      <c r="PY54" s="4"/>
      <c r="PZ54" s="4"/>
      <c r="QA54" s="4"/>
      <c r="QB54" s="4"/>
      <c r="QC54" s="4"/>
      <c r="QD54" s="4"/>
      <c r="QE54" s="4"/>
      <c r="QF54" s="4"/>
      <c r="QG54" s="4"/>
      <c r="QH54" s="4"/>
      <c r="QI54" s="4"/>
      <c r="QJ54" s="4"/>
      <c r="QK54" s="4"/>
      <c r="QL54" s="4"/>
      <c r="QM54" s="4"/>
      <c r="QN54" s="4"/>
      <c r="QO54" s="4"/>
      <c r="QP54" s="4"/>
      <c r="QQ54" s="4"/>
      <c r="QR54" s="4"/>
      <c r="QS54" s="4"/>
      <c r="QT54" s="4"/>
      <c r="QU54" s="4"/>
      <c r="QV54" s="4"/>
      <c r="QW54" s="4"/>
      <c r="QX54" s="4"/>
      <c r="QY54" s="4"/>
      <c r="QZ54" s="4"/>
      <c r="RA54" s="4"/>
      <c r="RB54" s="4"/>
      <c r="RC54" s="4"/>
      <c r="RD54" s="4"/>
      <c r="RE54" s="4"/>
      <c r="RF54" s="4"/>
      <c r="RG54" s="4"/>
      <c r="RH54" s="4"/>
      <c r="RI54" s="4"/>
      <c r="RJ54" s="4"/>
      <c r="RK54" s="4"/>
      <c r="RL54" s="4"/>
      <c r="RM54" s="4"/>
      <c r="RN54" s="4"/>
      <c r="RO54" s="4"/>
      <c r="RP54" s="4"/>
      <c r="RQ54" s="4"/>
      <c r="RR54" s="4"/>
      <c r="RS54" s="4"/>
      <c r="RT54" s="4"/>
      <c r="RU54" s="4"/>
      <c r="RV54" s="4"/>
      <c r="RW54" s="4"/>
      <c r="RX54" s="4"/>
      <c r="RY54" s="4"/>
      <c r="RZ54" s="4"/>
      <c r="SA54" s="4"/>
      <c r="SB54" s="4"/>
      <c r="SC54" s="4"/>
      <c r="SD54" s="4"/>
      <c r="SE54" s="4"/>
      <c r="SF54" s="4"/>
      <c r="SG54" s="4"/>
      <c r="SH54" s="4"/>
      <c r="SI54" s="4"/>
      <c r="SJ54" s="4"/>
      <c r="SK54" s="4"/>
      <c r="SL54" s="4"/>
      <c r="SM54" s="4"/>
      <c r="SN54" s="4"/>
      <c r="SO54" s="4"/>
      <c r="SP54" s="4"/>
      <c r="SQ54" s="4"/>
      <c r="SR54" s="4"/>
      <c r="SS54" s="4"/>
      <c r="ST54" s="4"/>
      <c r="SU54" s="4"/>
      <c r="SV54" s="4"/>
      <c r="SW54" s="4"/>
      <c r="SX54" s="4"/>
      <c r="SY54" s="4"/>
      <c r="SZ54" s="4"/>
      <c r="TA54" s="4"/>
      <c r="TB54" s="4"/>
      <c r="TC54" s="4"/>
      <c r="TD54" s="4"/>
      <c r="TE54" s="4"/>
      <c r="TF54" s="4"/>
      <c r="TG54" s="4"/>
      <c r="TH54" s="4"/>
      <c r="TI54" s="4"/>
      <c r="TJ54" s="4"/>
      <c r="TK54" s="4"/>
      <c r="TL54" s="4"/>
      <c r="TM54" s="4"/>
      <c r="TN54" s="4"/>
      <c r="TO54" s="4"/>
      <c r="TP54" s="4"/>
      <c r="TQ54" s="4"/>
      <c r="TR54" s="4"/>
      <c r="TS54" s="4"/>
      <c r="TT54" s="4"/>
      <c r="TU54" s="4"/>
      <c r="TV54" s="4"/>
      <c r="TW54" s="4"/>
      <c r="TX54" s="4"/>
      <c r="TY54" s="4"/>
      <c r="TZ54" s="4"/>
      <c r="UA54" s="4"/>
      <c r="UB54" s="4"/>
      <c r="UC54" s="4"/>
      <c r="UD54" s="4"/>
      <c r="UE54" s="4"/>
      <c r="UF54" s="4"/>
      <c r="UG54" s="4"/>
      <c r="UH54" s="4"/>
      <c r="UI54" s="4"/>
      <c r="UJ54" s="4"/>
      <c r="UK54" s="4"/>
      <c r="UL54" s="4"/>
      <c r="UM54" s="4"/>
      <c r="UN54" s="4"/>
      <c r="UO54" s="4"/>
      <c r="UP54" s="4"/>
      <c r="UQ54" s="4"/>
      <c r="UR54" s="4"/>
      <c r="US54" s="4"/>
      <c r="UT54" s="4"/>
      <c r="UU54" s="4"/>
      <c r="UV54" s="4"/>
      <c r="UW54" s="4"/>
      <c r="UX54" s="4"/>
      <c r="UY54" s="4"/>
      <c r="UZ54" s="4"/>
      <c r="VA54" s="4"/>
      <c r="VB54" s="4"/>
      <c r="VC54" s="4"/>
      <c r="VD54" s="4"/>
      <c r="VE54" s="4"/>
      <c r="VF54" s="4"/>
      <c r="VG54" s="4"/>
      <c r="VH54" s="4"/>
      <c r="VI54" s="4"/>
      <c r="VJ54" s="4"/>
      <c r="VK54" s="4"/>
      <c r="VL54" s="4"/>
      <c r="VM54" s="4"/>
      <c r="VN54" s="4"/>
      <c r="VO54" s="4"/>
      <c r="VP54" s="4"/>
      <c r="VQ54" s="4"/>
      <c r="VR54" s="4"/>
      <c r="VS54" s="4"/>
      <c r="VT54" s="4"/>
      <c r="VU54" s="4"/>
      <c r="VV54" s="4"/>
      <c r="VW54" s="4"/>
      <c r="VX54" s="4"/>
      <c r="VY54" s="4"/>
      <c r="VZ54" s="4"/>
      <c r="WA54" s="4"/>
      <c r="WB54" s="4"/>
      <c r="WC54" s="4"/>
      <c r="WD54" s="4"/>
      <c r="WE54" s="4"/>
      <c r="WF54" s="4"/>
      <c r="WG54" s="4"/>
      <c r="WH54" s="4"/>
      <c r="WI54" s="4"/>
      <c r="WJ54" s="4"/>
      <c r="WK54" s="4"/>
      <c r="WL54" s="4"/>
      <c r="WM54" s="4"/>
      <c r="WN54" s="4"/>
      <c r="WO54" s="4"/>
      <c r="WP54" s="4"/>
      <c r="WQ54" s="4"/>
      <c r="WR54" s="4"/>
      <c r="WS54" s="4"/>
      <c r="WT54" s="4"/>
      <c r="WU54" s="4"/>
      <c r="WV54" s="4"/>
      <c r="WW54" s="4"/>
      <c r="WX54" s="4"/>
      <c r="WY54" s="4"/>
      <c r="WZ54" s="4"/>
      <c r="XA54" s="4"/>
      <c r="XB54" s="4"/>
      <c r="XC54" s="4"/>
      <c r="XD54" s="4"/>
      <c r="XE54" s="4"/>
      <c r="XF54" s="4"/>
      <c r="XG54" s="4"/>
      <c r="XH54" s="4"/>
      <c r="XI54" s="4"/>
      <c r="XJ54" s="4"/>
      <c r="XK54" s="4"/>
      <c r="XL54" s="4"/>
      <c r="XM54" s="4"/>
      <c r="XN54" s="4"/>
      <c r="XO54" s="4"/>
      <c r="XP54" s="4"/>
      <c r="XQ54" s="4"/>
      <c r="XR54" s="4"/>
      <c r="XS54" s="4"/>
      <c r="XT54" s="4"/>
      <c r="XU54" s="4"/>
      <c r="XV54" s="4"/>
      <c r="XW54" s="4"/>
      <c r="XX54" s="4"/>
      <c r="XY54" s="4"/>
      <c r="XZ54" s="4"/>
      <c r="YA54" s="4"/>
      <c r="YB54" s="4"/>
      <c r="YC54" s="4"/>
      <c r="YD54" s="4"/>
      <c r="YE54" s="4"/>
      <c r="YF54" s="4"/>
      <c r="YG54" s="4"/>
      <c r="YH54" s="4"/>
      <c r="YI54" s="4"/>
      <c r="YJ54" s="4"/>
      <c r="YK54" s="4"/>
      <c r="YL54" s="4"/>
      <c r="YM54" s="4"/>
      <c r="YN54" s="4"/>
      <c r="YO54" s="4"/>
      <c r="YP54" s="4"/>
      <c r="YQ54" s="4"/>
      <c r="YR54" s="4"/>
      <c r="YS54" s="4"/>
      <c r="YT54" s="4"/>
      <c r="YU54" s="4"/>
      <c r="YV54" s="4"/>
      <c r="YW54" s="4"/>
      <c r="YX54" s="4"/>
      <c r="YY54" s="4"/>
      <c r="YZ54" s="4"/>
      <c r="ZA54" s="4"/>
      <c r="ZB54" s="4"/>
      <c r="ZC54" s="4"/>
      <c r="ZD54" s="4"/>
      <c r="ZE54" s="4"/>
      <c r="ZF54" s="4"/>
      <c r="ZG54" s="4"/>
      <c r="ZH54" s="4"/>
      <c r="ZI54" s="4"/>
      <c r="ZJ54" s="4"/>
      <c r="ZK54" s="4"/>
      <c r="ZL54" s="4"/>
      <c r="ZM54" s="4"/>
      <c r="ZN54" s="4"/>
      <c r="ZO54" s="4"/>
      <c r="ZP54" s="4"/>
      <c r="ZQ54" s="4"/>
      <c r="ZR54" s="4"/>
      <c r="ZS54" s="4"/>
      <c r="ZT54" s="4"/>
      <c r="ZU54" s="4"/>
      <c r="ZV54" s="4"/>
      <c r="ZW54" s="4"/>
      <c r="ZX54" s="4"/>
      <c r="ZY54" s="4"/>
      <c r="ZZ54" s="4"/>
      <c r="AAA54" s="4"/>
      <c r="AAB54" s="4"/>
      <c r="AAC54" s="4"/>
      <c r="AAD54" s="4"/>
      <c r="AAE54" s="4"/>
      <c r="AAF54" s="4"/>
      <c r="AAG54" s="4"/>
      <c r="AAH54" s="4"/>
      <c r="AAI54" s="4"/>
      <c r="AAJ54" s="4"/>
      <c r="AAK54" s="4"/>
      <c r="AAL54" s="4"/>
      <c r="AAM54" s="4"/>
      <c r="AAN54" s="4"/>
      <c r="AAO54" s="4"/>
      <c r="AAP54" s="4"/>
      <c r="AAQ54" s="4"/>
      <c r="AAR54" s="4"/>
      <c r="AAS54" s="4"/>
      <c r="AAT54" s="4"/>
      <c r="AAU54" s="4"/>
      <c r="AAV54" s="4"/>
      <c r="AAW54" s="4"/>
      <c r="AAX54" s="4"/>
      <c r="AAY54" s="4"/>
      <c r="AAZ54" s="4"/>
      <c r="ABA54" s="4"/>
      <c r="ABB54" s="4"/>
      <c r="ABC54" s="4"/>
      <c r="ABD54" s="4"/>
      <c r="ABE54" s="4"/>
      <c r="ABF54" s="4"/>
      <c r="ABG54" s="4"/>
      <c r="ABH54" s="4"/>
      <c r="ABI54" s="4"/>
      <c r="ABJ54" s="4"/>
      <c r="ABK54" s="4"/>
      <c r="ABL54" s="4"/>
      <c r="ABM54" s="4"/>
      <c r="ABN54" s="4"/>
      <c r="ABO54" s="4"/>
      <c r="ABP54" s="4"/>
      <c r="ABQ54" s="4"/>
      <c r="ABR54" s="4"/>
      <c r="ABS54" s="4"/>
      <c r="ABT54" s="4"/>
      <c r="ABU54" s="4"/>
      <c r="ABV54" s="4"/>
      <c r="ABW54" s="4"/>
      <c r="ABX54" s="4"/>
      <c r="ABY54" s="4"/>
      <c r="ABZ54" s="4"/>
      <c r="ACA54" s="4"/>
      <c r="ACB54" s="4"/>
      <c r="ACC54" s="4"/>
      <c r="ACD54" s="4"/>
      <c r="ACE54" s="4"/>
      <c r="ACF54" s="4"/>
      <c r="ACG54" s="4"/>
      <c r="ACH54" s="4"/>
      <c r="ACI54" s="4"/>
      <c r="ACJ54" s="4"/>
      <c r="ACK54" s="4"/>
      <c r="ACL54" s="4"/>
      <c r="ACM54" s="4"/>
      <c r="ACN54" s="4"/>
      <c r="ACO54" s="4"/>
      <c r="ACP54" s="4"/>
      <c r="ACQ54" s="4"/>
      <c r="ACR54" s="4"/>
      <c r="ACS54" s="4"/>
      <c r="ACT54" s="4"/>
      <c r="ACU54" s="4"/>
      <c r="ACV54" s="4"/>
      <c r="ACW54" s="4"/>
      <c r="ACX54" s="4"/>
      <c r="ACY54" s="4"/>
      <c r="ACZ54" s="4"/>
      <c r="ADA54" s="4"/>
      <c r="ADB54" s="4"/>
      <c r="ADC54" s="4"/>
      <c r="ADD54" s="4"/>
      <c r="ADE54" s="4"/>
      <c r="ADF54" s="4"/>
      <c r="ADG54" s="4"/>
      <c r="ADH54" s="4"/>
      <c r="ADI54" s="4"/>
      <c r="ADJ54" s="4"/>
      <c r="ADK54" s="4"/>
      <c r="ADL54" s="4"/>
      <c r="ADM54" s="4"/>
      <c r="ADN54" s="4"/>
      <c r="ADO54" s="4"/>
      <c r="ADP54" s="4"/>
      <c r="ADQ54" s="4"/>
      <c r="ADR54" s="4"/>
      <c r="ADS54" s="4"/>
      <c r="ADT54" s="4"/>
      <c r="ADU54" s="4"/>
      <c r="ADV54" s="4"/>
      <c r="ADW54" s="4"/>
      <c r="ADX54" s="4"/>
      <c r="ADY54" s="4"/>
      <c r="ADZ54" s="4"/>
      <c r="AEA54" s="4"/>
      <c r="AEB54" s="4"/>
      <c r="AEC54" s="4"/>
      <c r="AED54" s="4"/>
      <c r="AEE54" s="4"/>
      <c r="AEF54" s="4"/>
      <c r="AEG54" s="4"/>
      <c r="AEH54" s="4"/>
      <c r="AEI54" s="4"/>
      <c r="AEJ54" s="4"/>
      <c r="AEK54" s="4"/>
      <c r="AEL54" s="4"/>
      <c r="AEM54" s="4"/>
      <c r="AEN54" s="4"/>
      <c r="AEO54" s="4"/>
      <c r="AEP54" s="4"/>
      <c r="AEQ54" s="4"/>
      <c r="AER54" s="4"/>
      <c r="AES54" s="4"/>
      <c r="AET54" s="4"/>
      <c r="AEU54" s="4"/>
      <c r="AEV54" s="4"/>
      <c r="AEW54" s="4"/>
      <c r="AEX54" s="4"/>
      <c r="AEY54" s="4"/>
      <c r="AEZ54" s="4"/>
      <c r="AFA54" s="4"/>
      <c r="AFB54" s="4"/>
      <c r="AFC54" s="4"/>
      <c r="AFD54" s="4"/>
      <c r="AFE54" s="4"/>
      <c r="AFF54" s="4"/>
      <c r="AFG54" s="4"/>
      <c r="AFH54" s="4"/>
      <c r="AFI54" s="4"/>
      <c r="AFJ54" s="4"/>
      <c r="AFK54" s="4"/>
      <c r="AFL54" s="4"/>
      <c r="AFM54" s="4"/>
      <c r="AFN54" s="4"/>
      <c r="AFO54" s="4"/>
      <c r="AFP54" s="4"/>
      <c r="AFQ54" s="4"/>
      <c r="AFR54" s="4"/>
      <c r="AFS54" s="4"/>
      <c r="AFT54" s="4"/>
      <c r="AFU54" s="4"/>
      <c r="AFV54" s="4"/>
      <c r="AFW54" s="4"/>
      <c r="AFX54" s="4"/>
      <c r="AFY54" s="4"/>
      <c r="AFZ54" s="4"/>
      <c r="AGA54" s="4"/>
      <c r="AGB54" s="4"/>
      <c r="AGC54" s="4"/>
      <c r="AGD54" s="4"/>
      <c r="AGE54" s="4"/>
      <c r="AGF54" s="4"/>
      <c r="AGG54" s="4"/>
      <c r="AGH54" s="4"/>
      <c r="AGI54" s="4"/>
      <c r="AGJ54" s="4"/>
      <c r="AGK54" s="4"/>
      <c r="AGL54" s="4"/>
      <c r="AGM54" s="4"/>
      <c r="AGN54" s="4"/>
      <c r="AGO54" s="4"/>
      <c r="AGP54" s="4"/>
      <c r="AGQ54" s="4"/>
      <c r="AGR54" s="4"/>
      <c r="AGS54" s="4"/>
      <c r="AGT54" s="4"/>
      <c r="AGU54" s="4"/>
      <c r="AGV54" s="4"/>
      <c r="AGW54" s="4"/>
      <c r="AGX54" s="4"/>
      <c r="AGY54" s="4"/>
      <c r="AGZ54" s="4"/>
      <c r="AHA54" s="4"/>
      <c r="AHB54" s="4"/>
      <c r="AHC54" s="4"/>
      <c r="AHD54" s="4"/>
      <c r="AHE54" s="4"/>
      <c r="AHF54" s="4"/>
      <c r="AHG54" s="4"/>
      <c r="AHH54" s="4"/>
      <c r="AHI54" s="4"/>
      <c r="AHJ54" s="4"/>
      <c r="AHK54" s="4"/>
      <c r="AHL54" s="4"/>
      <c r="AHM54" s="4"/>
      <c r="AHN54" s="4"/>
      <c r="AHO54" s="4"/>
      <c r="AHP54" s="4"/>
      <c r="AHQ54" s="4"/>
      <c r="AHR54" s="4"/>
      <c r="AHS54" s="4"/>
      <c r="AHT54" s="4"/>
      <c r="AHU54" s="4"/>
      <c r="AHV54" s="4"/>
      <c r="AHW54" s="4"/>
      <c r="AHX54" s="4"/>
      <c r="AHY54" s="4"/>
      <c r="AHZ54" s="4"/>
      <c r="AIA54" s="4"/>
      <c r="AIB54" s="4"/>
      <c r="AIC54" s="4"/>
      <c r="AID54" s="4"/>
      <c r="AIE54" s="4"/>
      <c r="AIF54" s="4"/>
      <c r="AIG54" s="4"/>
      <c r="AIH54" s="4"/>
      <c r="AII54" s="4"/>
      <c r="AIJ54" s="4"/>
      <c r="AIK54" s="4"/>
      <c r="AIL54" s="4"/>
      <c r="AIM54" s="4"/>
      <c r="AIN54" s="4"/>
      <c r="AIO54" s="4"/>
      <c r="AIP54" s="4"/>
      <c r="AIQ54" s="4"/>
      <c r="AIR54" s="4"/>
      <c r="AIS54" s="4"/>
      <c r="AIT54" s="4"/>
      <c r="AIU54" s="4"/>
      <c r="AIV54" s="4"/>
      <c r="AIW54" s="4"/>
      <c r="AIX54" s="4"/>
      <c r="AIY54" s="4"/>
      <c r="AIZ54" s="4"/>
      <c r="AJA54" s="4"/>
      <c r="AJB54" s="4"/>
      <c r="AJC54" s="4"/>
      <c r="AJD54" s="4"/>
      <c r="AJE54" s="4"/>
      <c r="AJF54" s="4"/>
      <c r="AJG54" s="4"/>
      <c r="AJH54" s="4"/>
      <c r="AJI54" s="4"/>
      <c r="AJJ54" s="4"/>
      <c r="AJK54" s="4"/>
      <c r="AJL54" s="4"/>
      <c r="AJM54" s="4"/>
      <c r="AJN54" s="4"/>
      <c r="AJO54" s="4"/>
      <c r="AJP54" s="4"/>
      <c r="AJQ54" s="4"/>
      <c r="AJR54" s="4"/>
      <c r="AJS54" s="4"/>
      <c r="AJT54" s="4"/>
      <c r="AJU54" s="4"/>
      <c r="AJV54" s="4"/>
      <c r="AJW54" s="4"/>
      <c r="AJX54" s="4"/>
      <c r="AJY54" s="4"/>
      <c r="AJZ54" s="4"/>
      <c r="AKA54" s="4"/>
      <c r="AKB54" s="4"/>
      <c r="AKC54" s="4"/>
      <c r="AKD54" s="4"/>
      <c r="AKE54" s="4"/>
      <c r="AKF54" s="4"/>
      <c r="AKG54" s="4"/>
      <c r="AKH54" s="4"/>
      <c r="AKI54" s="4"/>
      <c r="AKJ54" s="4"/>
      <c r="AKK54" s="4"/>
      <c r="AKL54" s="4"/>
      <c r="AKM54" s="4"/>
      <c r="AKN54" s="4"/>
      <c r="AKO54" s="4"/>
      <c r="AKP54" s="4"/>
      <c r="AKQ54" s="4"/>
      <c r="AKR54" s="4"/>
      <c r="AKS54" s="4"/>
      <c r="AKT54" s="4"/>
      <c r="AKU54" s="4"/>
      <c r="AKV54" s="4"/>
      <c r="AKW54" s="4"/>
      <c r="AKX54" s="4"/>
      <c r="AKY54" s="4"/>
      <c r="AKZ54" s="4"/>
      <c r="ALA54" s="4"/>
      <c r="ALB54" s="4"/>
      <c r="ALC54" s="4"/>
      <c r="ALD54" s="4"/>
      <c r="ALE54" s="4"/>
      <c r="ALF54" s="4"/>
      <c r="ALG54" s="4"/>
      <c r="ALH54" s="4"/>
      <c r="ALI54" s="4"/>
      <c r="ALJ54" s="4"/>
      <c r="ALK54" s="4"/>
      <c r="ALL54" s="4"/>
      <c r="ALM54" s="4"/>
      <c r="ALN54" s="4"/>
      <c r="ALO54" s="4"/>
      <c r="ALP54" s="4"/>
      <c r="ALQ54" s="4"/>
      <c r="ALR54" s="4"/>
      <c r="ALS54" s="4"/>
      <c r="ALT54" s="4"/>
      <c r="ALU54" s="4"/>
      <c r="ALV54" s="4"/>
      <c r="ALW54" s="4"/>
      <c r="ALX54" s="4"/>
      <c r="ALY54" s="4"/>
      <c r="ALZ54" s="4"/>
      <c r="AMA54" s="4"/>
      <c r="AMB54" s="4"/>
      <c r="AMC54" s="4"/>
      <c r="AMD54" s="4"/>
      <c r="AME54" s="4"/>
      <c r="AMF54" s="4"/>
    </row>
    <row r="55" spans="1:1020" s="9" customFormat="1" ht="36" customHeight="1" x14ac:dyDescent="0.25">
      <c r="A55" s="147" t="s">
        <v>0</v>
      </c>
      <c r="B55" s="147"/>
      <c r="C55" s="148" t="s">
        <v>1147</v>
      </c>
      <c r="D55" s="149"/>
      <c r="E55" s="149"/>
      <c r="F55" s="149"/>
      <c r="G55" s="149"/>
      <c r="H55" s="150"/>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c r="PW55" s="4"/>
      <c r="PX55" s="4"/>
      <c r="PY55" s="4"/>
      <c r="PZ55" s="4"/>
      <c r="QA55" s="4"/>
      <c r="QB55" s="4"/>
      <c r="QC55" s="4"/>
      <c r="QD55" s="4"/>
      <c r="QE55" s="4"/>
      <c r="QF55" s="4"/>
      <c r="QG55" s="4"/>
      <c r="QH55" s="4"/>
      <c r="QI55" s="4"/>
      <c r="QJ55" s="4"/>
      <c r="QK55" s="4"/>
      <c r="QL55" s="4"/>
      <c r="QM55" s="4"/>
      <c r="QN55" s="4"/>
      <c r="QO55" s="4"/>
      <c r="QP55" s="4"/>
      <c r="QQ55" s="4"/>
      <c r="QR55" s="4"/>
      <c r="QS55" s="4"/>
      <c r="QT55" s="4"/>
      <c r="QU55" s="4"/>
      <c r="QV55" s="4"/>
      <c r="QW55" s="4"/>
      <c r="QX55" s="4"/>
      <c r="QY55" s="4"/>
      <c r="QZ55" s="4"/>
      <c r="RA55" s="4"/>
      <c r="RB55" s="4"/>
      <c r="RC55" s="4"/>
      <c r="RD55" s="4"/>
      <c r="RE55" s="4"/>
      <c r="RF55" s="4"/>
      <c r="RG55" s="4"/>
      <c r="RH55" s="4"/>
      <c r="RI55" s="4"/>
      <c r="RJ55" s="4"/>
      <c r="RK55" s="4"/>
      <c r="RL55" s="4"/>
      <c r="RM55" s="4"/>
      <c r="RN55" s="4"/>
      <c r="RO55" s="4"/>
      <c r="RP55" s="4"/>
      <c r="RQ55" s="4"/>
      <c r="RR55" s="4"/>
      <c r="RS55" s="4"/>
      <c r="RT55" s="4"/>
      <c r="RU55" s="4"/>
      <c r="RV55" s="4"/>
      <c r="RW55" s="4"/>
      <c r="RX55" s="4"/>
      <c r="RY55" s="4"/>
      <c r="RZ55" s="4"/>
      <c r="SA55" s="4"/>
      <c r="SB55" s="4"/>
      <c r="SC55" s="4"/>
      <c r="SD55" s="4"/>
      <c r="SE55" s="4"/>
      <c r="SF55" s="4"/>
      <c r="SG55" s="4"/>
      <c r="SH55" s="4"/>
      <c r="SI55" s="4"/>
      <c r="SJ55" s="4"/>
      <c r="SK55" s="4"/>
      <c r="SL55" s="4"/>
      <c r="SM55" s="4"/>
      <c r="SN55" s="4"/>
      <c r="SO55" s="4"/>
      <c r="SP55" s="4"/>
      <c r="SQ55" s="4"/>
      <c r="SR55" s="4"/>
      <c r="SS55" s="4"/>
      <c r="ST55" s="4"/>
      <c r="SU55" s="4"/>
      <c r="SV55" s="4"/>
      <c r="SW55" s="4"/>
      <c r="SX55" s="4"/>
      <c r="SY55" s="4"/>
      <c r="SZ55" s="4"/>
      <c r="TA55" s="4"/>
      <c r="TB55" s="4"/>
      <c r="TC55" s="4"/>
      <c r="TD55" s="4"/>
      <c r="TE55" s="4"/>
      <c r="TF55" s="4"/>
      <c r="TG55" s="4"/>
      <c r="TH55" s="4"/>
      <c r="TI55" s="4"/>
      <c r="TJ55" s="4"/>
      <c r="TK55" s="4"/>
      <c r="TL55" s="4"/>
      <c r="TM55" s="4"/>
      <c r="TN55" s="4"/>
      <c r="TO55" s="4"/>
      <c r="TP55" s="4"/>
      <c r="TQ55" s="4"/>
      <c r="TR55" s="4"/>
      <c r="TS55" s="4"/>
      <c r="TT55" s="4"/>
      <c r="TU55" s="4"/>
      <c r="TV55" s="4"/>
      <c r="TW55" s="4"/>
      <c r="TX55" s="4"/>
      <c r="TY55" s="4"/>
      <c r="TZ55" s="4"/>
      <c r="UA55" s="4"/>
      <c r="UB55" s="4"/>
      <c r="UC55" s="4"/>
      <c r="UD55" s="4"/>
      <c r="UE55" s="4"/>
      <c r="UF55" s="4"/>
      <c r="UG55" s="4"/>
      <c r="UH55" s="4"/>
      <c r="UI55" s="4"/>
      <c r="UJ55" s="4"/>
      <c r="UK55" s="4"/>
      <c r="UL55" s="4"/>
      <c r="UM55" s="4"/>
      <c r="UN55" s="4"/>
      <c r="UO55" s="4"/>
      <c r="UP55" s="4"/>
      <c r="UQ55" s="4"/>
      <c r="UR55" s="4"/>
      <c r="US55" s="4"/>
      <c r="UT55" s="4"/>
      <c r="UU55" s="4"/>
      <c r="UV55" s="4"/>
      <c r="UW55" s="4"/>
      <c r="UX55" s="4"/>
      <c r="UY55" s="4"/>
      <c r="UZ55" s="4"/>
      <c r="VA55" s="4"/>
      <c r="VB55" s="4"/>
      <c r="VC55" s="4"/>
      <c r="VD55" s="4"/>
      <c r="VE55" s="4"/>
      <c r="VF55" s="4"/>
      <c r="VG55" s="4"/>
      <c r="VH55" s="4"/>
      <c r="VI55" s="4"/>
      <c r="VJ55" s="4"/>
      <c r="VK55" s="4"/>
      <c r="VL55" s="4"/>
      <c r="VM55" s="4"/>
      <c r="VN55" s="4"/>
      <c r="VO55" s="4"/>
      <c r="VP55" s="4"/>
      <c r="VQ55" s="4"/>
      <c r="VR55" s="4"/>
      <c r="VS55" s="4"/>
      <c r="VT55" s="4"/>
      <c r="VU55" s="4"/>
      <c r="VV55" s="4"/>
      <c r="VW55" s="4"/>
      <c r="VX55" s="4"/>
      <c r="VY55" s="4"/>
      <c r="VZ55" s="4"/>
      <c r="WA55" s="4"/>
      <c r="WB55" s="4"/>
      <c r="WC55" s="4"/>
      <c r="WD55" s="4"/>
      <c r="WE55" s="4"/>
      <c r="WF55" s="4"/>
      <c r="WG55" s="4"/>
      <c r="WH55" s="4"/>
      <c r="WI55" s="4"/>
      <c r="WJ55" s="4"/>
      <c r="WK55" s="4"/>
      <c r="WL55" s="4"/>
      <c r="WM55" s="4"/>
      <c r="WN55" s="4"/>
      <c r="WO55" s="4"/>
      <c r="WP55" s="4"/>
      <c r="WQ55" s="4"/>
      <c r="WR55" s="4"/>
      <c r="WS55" s="4"/>
      <c r="WT55" s="4"/>
      <c r="WU55" s="4"/>
      <c r="WV55" s="4"/>
      <c r="WW55" s="4"/>
      <c r="WX55" s="4"/>
      <c r="WY55" s="4"/>
      <c r="WZ55" s="4"/>
      <c r="XA55" s="4"/>
      <c r="XB55" s="4"/>
      <c r="XC55" s="4"/>
      <c r="XD55" s="4"/>
      <c r="XE55" s="4"/>
      <c r="XF55" s="4"/>
      <c r="XG55" s="4"/>
      <c r="XH55" s="4"/>
      <c r="XI55" s="4"/>
      <c r="XJ55" s="4"/>
      <c r="XK55" s="4"/>
      <c r="XL55" s="4"/>
      <c r="XM55" s="4"/>
      <c r="XN55" s="4"/>
      <c r="XO55" s="4"/>
      <c r="XP55" s="4"/>
      <c r="XQ55" s="4"/>
      <c r="XR55" s="4"/>
      <c r="XS55" s="4"/>
      <c r="XT55" s="4"/>
      <c r="XU55" s="4"/>
      <c r="XV55" s="4"/>
      <c r="XW55" s="4"/>
      <c r="XX55" s="4"/>
      <c r="XY55" s="4"/>
      <c r="XZ55" s="4"/>
      <c r="YA55" s="4"/>
      <c r="YB55" s="4"/>
      <c r="YC55" s="4"/>
      <c r="YD55" s="4"/>
      <c r="YE55" s="4"/>
      <c r="YF55" s="4"/>
      <c r="YG55" s="4"/>
      <c r="YH55" s="4"/>
      <c r="YI55" s="4"/>
      <c r="YJ55" s="4"/>
      <c r="YK55" s="4"/>
      <c r="YL55" s="4"/>
      <c r="YM55" s="4"/>
      <c r="YN55" s="4"/>
      <c r="YO55" s="4"/>
      <c r="YP55" s="4"/>
      <c r="YQ55" s="4"/>
      <c r="YR55" s="4"/>
      <c r="YS55" s="4"/>
      <c r="YT55" s="4"/>
      <c r="YU55" s="4"/>
      <c r="YV55" s="4"/>
      <c r="YW55" s="4"/>
      <c r="YX55" s="4"/>
      <c r="YY55" s="4"/>
      <c r="YZ55" s="4"/>
      <c r="ZA55" s="4"/>
      <c r="ZB55" s="4"/>
      <c r="ZC55" s="4"/>
      <c r="ZD55" s="4"/>
      <c r="ZE55" s="4"/>
      <c r="ZF55" s="4"/>
      <c r="ZG55" s="4"/>
      <c r="ZH55" s="4"/>
      <c r="ZI55" s="4"/>
      <c r="ZJ55" s="4"/>
      <c r="ZK55" s="4"/>
      <c r="ZL55" s="4"/>
      <c r="ZM55" s="4"/>
      <c r="ZN55" s="4"/>
      <c r="ZO55" s="4"/>
      <c r="ZP55" s="4"/>
      <c r="ZQ55" s="4"/>
      <c r="ZR55" s="4"/>
      <c r="ZS55" s="4"/>
      <c r="ZT55" s="4"/>
      <c r="ZU55" s="4"/>
      <c r="ZV55" s="4"/>
      <c r="ZW55" s="4"/>
      <c r="ZX55" s="4"/>
      <c r="ZY55" s="4"/>
      <c r="ZZ55" s="4"/>
      <c r="AAA55" s="4"/>
      <c r="AAB55" s="4"/>
      <c r="AAC55" s="4"/>
      <c r="AAD55" s="4"/>
      <c r="AAE55" s="4"/>
      <c r="AAF55" s="4"/>
      <c r="AAG55" s="4"/>
      <c r="AAH55" s="4"/>
      <c r="AAI55" s="4"/>
      <c r="AAJ55" s="4"/>
      <c r="AAK55" s="4"/>
      <c r="AAL55" s="4"/>
      <c r="AAM55" s="4"/>
      <c r="AAN55" s="4"/>
      <c r="AAO55" s="4"/>
      <c r="AAP55" s="4"/>
      <c r="AAQ55" s="4"/>
      <c r="AAR55" s="4"/>
      <c r="AAS55" s="4"/>
      <c r="AAT55" s="4"/>
      <c r="AAU55" s="4"/>
      <c r="AAV55" s="4"/>
      <c r="AAW55" s="4"/>
      <c r="AAX55" s="4"/>
      <c r="AAY55" s="4"/>
      <c r="AAZ55" s="4"/>
      <c r="ABA55" s="4"/>
      <c r="ABB55" s="4"/>
      <c r="ABC55" s="4"/>
      <c r="ABD55" s="4"/>
      <c r="ABE55" s="4"/>
      <c r="ABF55" s="4"/>
      <c r="ABG55" s="4"/>
      <c r="ABH55" s="4"/>
      <c r="ABI55" s="4"/>
      <c r="ABJ55" s="4"/>
      <c r="ABK55" s="4"/>
      <c r="ABL55" s="4"/>
      <c r="ABM55" s="4"/>
      <c r="ABN55" s="4"/>
      <c r="ABO55" s="4"/>
      <c r="ABP55" s="4"/>
      <c r="ABQ55" s="4"/>
      <c r="ABR55" s="4"/>
      <c r="ABS55" s="4"/>
      <c r="ABT55" s="4"/>
      <c r="ABU55" s="4"/>
      <c r="ABV55" s="4"/>
      <c r="ABW55" s="4"/>
      <c r="ABX55" s="4"/>
      <c r="ABY55" s="4"/>
      <c r="ABZ55" s="4"/>
      <c r="ACA55" s="4"/>
      <c r="ACB55" s="4"/>
      <c r="ACC55" s="4"/>
      <c r="ACD55" s="4"/>
      <c r="ACE55" s="4"/>
      <c r="ACF55" s="4"/>
      <c r="ACG55" s="4"/>
      <c r="ACH55" s="4"/>
      <c r="ACI55" s="4"/>
      <c r="ACJ55" s="4"/>
      <c r="ACK55" s="4"/>
      <c r="ACL55" s="4"/>
      <c r="ACM55" s="4"/>
      <c r="ACN55" s="4"/>
      <c r="ACO55" s="4"/>
      <c r="ACP55" s="4"/>
      <c r="ACQ55" s="4"/>
      <c r="ACR55" s="4"/>
      <c r="ACS55" s="4"/>
      <c r="ACT55" s="4"/>
      <c r="ACU55" s="4"/>
      <c r="ACV55" s="4"/>
      <c r="ACW55" s="4"/>
      <c r="ACX55" s="4"/>
      <c r="ACY55" s="4"/>
      <c r="ACZ55" s="4"/>
      <c r="ADA55" s="4"/>
      <c r="ADB55" s="4"/>
      <c r="ADC55" s="4"/>
      <c r="ADD55" s="4"/>
      <c r="ADE55" s="4"/>
      <c r="ADF55" s="4"/>
      <c r="ADG55" s="4"/>
      <c r="ADH55" s="4"/>
      <c r="ADI55" s="4"/>
      <c r="ADJ55" s="4"/>
      <c r="ADK55" s="4"/>
      <c r="ADL55" s="4"/>
      <c r="ADM55" s="4"/>
      <c r="ADN55" s="4"/>
      <c r="ADO55" s="4"/>
      <c r="ADP55" s="4"/>
      <c r="ADQ55" s="4"/>
      <c r="ADR55" s="4"/>
      <c r="ADS55" s="4"/>
      <c r="ADT55" s="4"/>
      <c r="ADU55" s="4"/>
      <c r="ADV55" s="4"/>
      <c r="ADW55" s="4"/>
      <c r="ADX55" s="4"/>
      <c r="ADY55" s="4"/>
      <c r="ADZ55" s="4"/>
      <c r="AEA55" s="4"/>
      <c r="AEB55" s="4"/>
      <c r="AEC55" s="4"/>
      <c r="AED55" s="4"/>
      <c r="AEE55" s="4"/>
      <c r="AEF55" s="4"/>
      <c r="AEG55" s="4"/>
      <c r="AEH55" s="4"/>
      <c r="AEI55" s="4"/>
      <c r="AEJ55" s="4"/>
      <c r="AEK55" s="4"/>
      <c r="AEL55" s="4"/>
      <c r="AEM55" s="4"/>
      <c r="AEN55" s="4"/>
      <c r="AEO55" s="4"/>
      <c r="AEP55" s="4"/>
      <c r="AEQ55" s="4"/>
      <c r="AER55" s="4"/>
      <c r="AES55" s="4"/>
      <c r="AET55" s="4"/>
      <c r="AEU55" s="4"/>
      <c r="AEV55" s="4"/>
      <c r="AEW55" s="4"/>
      <c r="AEX55" s="4"/>
      <c r="AEY55" s="4"/>
      <c r="AEZ55" s="4"/>
      <c r="AFA55" s="4"/>
      <c r="AFB55" s="4"/>
      <c r="AFC55" s="4"/>
      <c r="AFD55" s="4"/>
      <c r="AFE55" s="4"/>
      <c r="AFF55" s="4"/>
      <c r="AFG55" s="4"/>
      <c r="AFH55" s="4"/>
      <c r="AFI55" s="4"/>
      <c r="AFJ55" s="4"/>
      <c r="AFK55" s="4"/>
      <c r="AFL55" s="4"/>
      <c r="AFM55" s="4"/>
      <c r="AFN55" s="4"/>
      <c r="AFO55" s="4"/>
      <c r="AFP55" s="4"/>
      <c r="AFQ55" s="4"/>
      <c r="AFR55" s="4"/>
      <c r="AFS55" s="4"/>
      <c r="AFT55" s="4"/>
      <c r="AFU55" s="4"/>
      <c r="AFV55" s="4"/>
      <c r="AFW55" s="4"/>
      <c r="AFX55" s="4"/>
      <c r="AFY55" s="4"/>
      <c r="AFZ55" s="4"/>
      <c r="AGA55" s="4"/>
      <c r="AGB55" s="4"/>
      <c r="AGC55" s="4"/>
      <c r="AGD55" s="4"/>
      <c r="AGE55" s="4"/>
      <c r="AGF55" s="4"/>
      <c r="AGG55" s="4"/>
      <c r="AGH55" s="4"/>
      <c r="AGI55" s="4"/>
      <c r="AGJ55" s="4"/>
      <c r="AGK55" s="4"/>
      <c r="AGL55" s="4"/>
      <c r="AGM55" s="4"/>
      <c r="AGN55" s="4"/>
      <c r="AGO55" s="4"/>
      <c r="AGP55" s="4"/>
      <c r="AGQ55" s="4"/>
      <c r="AGR55" s="4"/>
      <c r="AGS55" s="4"/>
      <c r="AGT55" s="4"/>
      <c r="AGU55" s="4"/>
      <c r="AGV55" s="4"/>
      <c r="AGW55" s="4"/>
      <c r="AGX55" s="4"/>
      <c r="AGY55" s="4"/>
      <c r="AGZ55" s="4"/>
      <c r="AHA55" s="4"/>
      <c r="AHB55" s="4"/>
      <c r="AHC55" s="4"/>
      <c r="AHD55" s="4"/>
      <c r="AHE55" s="4"/>
      <c r="AHF55" s="4"/>
      <c r="AHG55" s="4"/>
      <c r="AHH55" s="4"/>
      <c r="AHI55" s="4"/>
      <c r="AHJ55" s="4"/>
      <c r="AHK55" s="4"/>
      <c r="AHL55" s="4"/>
      <c r="AHM55" s="4"/>
      <c r="AHN55" s="4"/>
      <c r="AHO55" s="4"/>
      <c r="AHP55" s="4"/>
      <c r="AHQ55" s="4"/>
      <c r="AHR55" s="4"/>
      <c r="AHS55" s="4"/>
      <c r="AHT55" s="4"/>
      <c r="AHU55" s="4"/>
      <c r="AHV55" s="4"/>
      <c r="AHW55" s="4"/>
      <c r="AHX55" s="4"/>
      <c r="AHY55" s="4"/>
      <c r="AHZ55" s="4"/>
      <c r="AIA55" s="4"/>
      <c r="AIB55" s="4"/>
      <c r="AIC55" s="4"/>
      <c r="AID55" s="4"/>
      <c r="AIE55" s="4"/>
      <c r="AIF55" s="4"/>
      <c r="AIG55" s="4"/>
      <c r="AIH55" s="4"/>
      <c r="AII55" s="4"/>
      <c r="AIJ55" s="4"/>
      <c r="AIK55" s="4"/>
      <c r="AIL55" s="4"/>
      <c r="AIM55" s="4"/>
      <c r="AIN55" s="4"/>
      <c r="AIO55" s="4"/>
      <c r="AIP55" s="4"/>
      <c r="AIQ55" s="4"/>
      <c r="AIR55" s="4"/>
      <c r="AIS55" s="4"/>
      <c r="AIT55" s="4"/>
      <c r="AIU55" s="4"/>
      <c r="AIV55" s="4"/>
      <c r="AIW55" s="4"/>
      <c r="AIX55" s="4"/>
      <c r="AIY55" s="4"/>
      <c r="AIZ55" s="4"/>
      <c r="AJA55" s="4"/>
      <c r="AJB55" s="4"/>
      <c r="AJC55" s="4"/>
      <c r="AJD55" s="4"/>
      <c r="AJE55" s="4"/>
      <c r="AJF55" s="4"/>
      <c r="AJG55" s="4"/>
      <c r="AJH55" s="4"/>
      <c r="AJI55" s="4"/>
      <c r="AJJ55" s="4"/>
      <c r="AJK55" s="4"/>
      <c r="AJL55" s="4"/>
      <c r="AJM55" s="4"/>
      <c r="AJN55" s="4"/>
      <c r="AJO55" s="4"/>
      <c r="AJP55" s="4"/>
      <c r="AJQ55" s="4"/>
      <c r="AJR55" s="4"/>
      <c r="AJS55" s="4"/>
      <c r="AJT55" s="4"/>
      <c r="AJU55" s="4"/>
      <c r="AJV55" s="4"/>
      <c r="AJW55" s="4"/>
      <c r="AJX55" s="4"/>
      <c r="AJY55" s="4"/>
      <c r="AJZ55" s="4"/>
      <c r="AKA55" s="4"/>
      <c r="AKB55" s="4"/>
      <c r="AKC55" s="4"/>
      <c r="AKD55" s="4"/>
      <c r="AKE55" s="4"/>
      <c r="AKF55" s="4"/>
      <c r="AKG55" s="4"/>
      <c r="AKH55" s="4"/>
      <c r="AKI55" s="4"/>
      <c r="AKJ55" s="4"/>
      <c r="AKK55" s="4"/>
      <c r="AKL55" s="4"/>
      <c r="AKM55" s="4"/>
      <c r="AKN55" s="4"/>
      <c r="AKO55" s="4"/>
      <c r="AKP55" s="4"/>
      <c r="AKQ55" s="4"/>
      <c r="AKR55" s="4"/>
      <c r="AKS55" s="4"/>
      <c r="AKT55" s="4"/>
      <c r="AKU55" s="4"/>
      <c r="AKV55" s="4"/>
      <c r="AKW55" s="4"/>
      <c r="AKX55" s="4"/>
      <c r="AKY55" s="4"/>
      <c r="AKZ55" s="4"/>
      <c r="ALA55" s="4"/>
      <c r="ALB55" s="4"/>
      <c r="ALC55" s="4"/>
      <c r="ALD55" s="4"/>
      <c r="ALE55" s="4"/>
      <c r="ALF55" s="4"/>
      <c r="ALG55" s="4"/>
      <c r="ALH55" s="4"/>
      <c r="ALI55" s="4"/>
      <c r="ALJ55" s="4"/>
      <c r="ALK55" s="4"/>
      <c r="ALL55" s="4"/>
      <c r="ALM55" s="4"/>
      <c r="ALN55" s="4"/>
      <c r="ALO55" s="4"/>
      <c r="ALP55" s="4"/>
      <c r="ALQ55" s="4"/>
      <c r="ALR55" s="4"/>
      <c r="ALS55" s="4"/>
      <c r="ALT55" s="4"/>
      <c r="ALU55" s="4"/>
      <c r="ALV55" s="4"/>
      <c r="ALW55" s="4"/>
      <c r="ALX55" s="4"/>
      <c r="ALY55" s="4"/>
      <c r="ALZ55" s="4"/>
      <c r="AMA55" s="4"/>
      <c r="AMB55" s="4"/>
      <c r="AMC55" s="4"/>
      <c r="AMD55" s="4"/>
      <c r="AME55" s="4"/>
      <c r="AMF55" s="4"/>
    </row>
    <row r="56" spans="1:1020" s="9" customFormat="1" ht="36" customHeight="1" x14ac:dyDescent="0.25">
      <c r="A56" s="147" t="s">
        <v>1</v>
      </c>
      <c r="B56" s="147"/>
      <c r="C56" s="148" t="s">
        <v>1148</v>
      </c>
      <c r="D56" s="149"/>
      <c r="E56" s="149"/>
      <c r="F56" s="149"/>
      <c r="G56" s="149"/>
      <c r="H56" s="150"/>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c r="PF56" s="4"/>
      <c r="PG56" s="4"/>
      <c r="PH56" s="4"/>
      <c r="PI56" s="4"/>
      <c r="PJ56" s="4"/>
      <c r="PK56" s="4"/>
      <c r="PL56" s="4"/>
      <c r="PM56" s="4"/>
      <c r="PN56" s="4"/>
      <c r="PO56" s="4"/>
      <c r="PP56" s="4"/>
      <c r="PQ56" s="4"/>
      <c r="PR56" s="4"/>
      <c r="PS56" s="4"/>
      <c r="PT56" s="4"/>
      <c r="PU56" s="4"/>
      <c r="PV56" s="4"/>
      <c r="PW56" s="4"/>
      <c r="PX56" s="4"/>
      <c r="PY56" s="4"/>
      <c r="PZ56" s="4"/>
      <c r="QA56" s="4"/>
      <c r="QB56" s="4"/>
      <c r="QC56" s="4"/>
      <c r="QD56" s="4"/>
      <c r="QE56" s="4"/>
      <c r="QF56" s="4"/>
      <c r="QG56" s="4"/>
      <c r="QH56" s="4"/>
      <c r="QI56" s="4"/>
      <c r="QJ56" s="4"/>
      <c r="QK56" s="4"/>
      <c r="QL56" s="4"/>
      <c r="QM56" s="4"/>
      <c r="QN56" s="4"/>
      <c r="QO56" s="4"/>
      <c r="QP56" s="4"/>
      <c r="QQ56" s="4"/>
      <c r="QR56" s="4"/>
      <c r="QS56" s="4"/>
      <c r="QT56" s="4"/>
      <c r="QU56" s="4"/>
      <c r="QV56" s="4"/>
      <c r="QW56" s="4"/>
      <c r="QX56" s="4"/>
      <c r="QY56" s="4"/>
      <c r="QZ56" s="4"/>
      <c r="RA56" s="4"/>
      <c r="RB56" s="4"/>
      <c r="RC56" s="4"/>
      <c r="RD56" s="4"/>
      <c r="RE56" s="4"/>
      <c r="RF56" s="4"/>
      <c r="RG56" s="4"/>
      <c r="RH56" s="4"/>
      <c r="RI56" s="4"/>
      <c r="RJ56" s="4"/>
      <c r="RK56" s="4"/>
      <c r="RL56" s="4"/>
      <c r="RM56" s="4"/>
      <c r="RN56" s="4"/>
      <c r="RO56" s="4"/>
      <c r="RP56" s="4"/>
      <c r="RQ56" s="4"/>
      <c r="RR56" s="4"/>
      <c r="RS56" s="4"/>
      <c r="RT56" s="4"/>
      <c r="RU56" s="4"/>
      <c r="RV56" s="4"/>
      <c r="RW56" s="4"/>
      <c r="RX56" s="4"/>
      <c r="RY56" s="4"/>
      <c r="RZ56" s="4"/>
      <c r="SA56" s="4"/>
      <c r="SB56" s="4"/>
      <c r="SC56" s="4"/>
      <c r="SD56" s="4"/>
      <c r="SE56" s="4"/>
      <c r="SF56" s="4"/>
      <c r="SG56" s="4"/>
      <c r="SH56" s="4"/>
      <c r="SI56" s="4"/>
      <c r="SJ56" s="4"/>
      <c r="SK56" s="4"/>
      <c r="SL56" s="4"/>
      <c r="SM56" s="4"/>
      <c r="SN56" s="4"/>
      <c r="SO56" s="4"/>
      <c r="SP56" s="4"/>
      <c r="SQ56" s="4"/>
      <c r="SR56" s="4"/>
      <c r="SS56" s="4"/>
      <c r="ST56" s="4"/>
      <c r="SU56" s="4"/>
      <c r="SV56" s="4"/>
      <c r="SW56" s="4"/>
      <c r="SX56" s="4"/>
      <c r="SY56" s="4"/>
      <c r="SZ56" s="4"/>
      <c r="TA56" s="4"/>
      <c r="TB56" s="4"/>
      <c r="TC56" s="4"/>
      <c r="TD56" s="4"/>
      <c r="TE56" s="4"/>
      <c r="TF56" s="4"/>
      <c r="TG56" s="4"/>
      <c r="TH56" s="4"/>
      <c r="TI56" s="4"/>
      <c r="TJ56" s="4"/>
      <c r="TK56" s="4"/>
      <c r="TL56" s="4"/>
      <c r="TM56" s="4"/>
      <c r="TN56" s="4"/>
      <c r="TO56" s="4"/>
      <c r="TP56" s="4"/>
      <c r="TQ56" s="4"/>
      <c r="TR56" s="4"/>
      <c r="TS56" s="4"/>
      <c r="TT56" s="4"/>
      <c r="TU56" s="4"/>
      <c r="TV56" s="4"/>
      <c r="TW56" s="4"/>
      <c r="TX56" s="4"/>
      <c r="TY56" s="4"/>
      <c r="TZ56" s="4"/>
      <c r="UA56" s="4"/>
      <c r="UB56" s="4"/>
      <c r="UC56" s="4"/>
      <c r="UD56" s="4"/>
      <c r="UE56" s="4"/>
      <c r="UF56" s="4"/>
      <c r="UG56" s="4"/>
      <c r="UH56" s="4"/>
      <c r="UI56" s="4"/>
      <c r="UJ56" s="4"/>
      <c r="UK56" s="4"/>
      <c r="UL56" s="4"/>
      <c r="UM56" s="4"/>
      <c r="UN56" s="4"/>
      <c r="UO56" s="4"/>
      <c r="UP56" s="4"/>
      <c r="UQ56" s="4"/>
      <c r="UR56" s="4"/>
      <c r="US56" s="4"/>
      <c r="UT56" s="4"/>
      <c r="UU56" s="4"/>
      <c r="UV56" s="4"/>
      <c r="UW56" s="4"/>
      <c r="UX56" s="4"/>
      <c r="UY56" s="4"/>
      <c r="UZ56" s="4"/>
      <c r="VA56" s="4"/>
      <c r="VB56" s="4"/>
      <c r="VC56" s="4"/>
      <c r="VD56" s="4"/>
      <c r="VE56" s="4"/>
      <c r="VF56" s="4"/>
      <c r="VG56" s="4"/>
      <c r="VH56" s="4"/>
      <c r="VI56" s="4"/>
      <c r="VJ56" s="4"/>
      <c r="VK56" s="4"/>
      <c r="VL56" s="4"/>
      <c r="VM56" s="4"/>
      <c r="VN56" s="4"/>
      <c r="VO56" s="4"/>
      <c r="VP56" s="4"/>
      <c r="VQ56" s="4"/>
      <c r="VR56" s="4"/>
      <c r="VS56" s="4"/>
      <c r="VT56" s="4"/>
      <c r="VU56" s="4"/>
      <c r="VV56" s="4"/>
      <c r="VW56" s="4"/>
      <c r="VX56" s="4"/>
      <c r="VY56" s="4"/>
      <c r="VZ56" s="4"/>
      <c r="WA56" s="4"/>
      <c r="WB56" s="4"/>
      <c r="WC56" s="4"/>
      <c r="WD56" s="4"/>
      <c r="WE56" s="4"/>
      <c r="WF56" s="4"/>
      <c r="WG56" s="4"/>
      <c r="WH56" s="4"/>
      <c r="WI56" s="4"/>
      <c r="WJ56" s="4"/>
      <c r="WK56" s="4"/>
      <c r="WL56" s="4"/>
      <c r="WM56" s="4"/>
      <c r="WN56" s="4"/>
      <c r="WO56" s="4"/>
      <c r="WP56" s="4"/>
      <c r="WQ56" s="4"/>
      <c r="WR56" s="4"/>
      <c r="WS56" s="4"/>
      <c r="WT56" s="4"/>
      <c r="WU56" s="4"/>
      <c r="WV56" s="4"/>
      <c r="WW56" s="4"/>
      <c r="WX56" s="4"/>
      <c r="WY56" s="4"/>
      <c r="WZ56" s="4"/>
      <c r="XA56" s="4"/>
      <c r="XB56" s="4"/>
      <c r="XC56" s="4"/>
      <c r="XD56" s="4"/>
      <c r="XE56" s="4"/>
      <c r="XF56" s="4"/>
      <c r="XG56" s="4"/>
      <c r="XH56" s="4"/>
      <c r="XI56" s="4"/>
      <c r="XJ56" s="4"/>
      <c r="XK56" s="4"/>
      <c r="XL56" s="4"/>
      <c r="XM56" s="4"/>
      <c r="XN56" s="4"/>
      <c r="XO56" s="4"/>
      <c r="XP56" s="4"/>
      <c r="XQ56" s="4"/>
      <c r="XR56" s="4"/>
      <c r="XS56" s="4"/>
      <c r="XT56" s="4"/>
      <c r="XU56" s="4"/>
      <c r="XV56" s="4"/>
      <c r="XW56" s="4"/>
      <c r="XX56" s="4"/>
      <c r="XY56" s="4"/>
      <c r="XZ56" s="4"/>
      <c r="YA56" s="4"/>
      <c r="YB56" s="4"/>
      <c r="YC56" s="4"/>
      <c r="YD56" s="4"/>
      <c r="YE56" s="4"/>
      <c r="YF56" s="4"/>
      <c r="YG56" s="4"/>
      <c r="YH56" s="4"/>
      <c r="YI56" s="4"/>
      <c r="YJ56" s="4"/>
      <c r="YK56" s="4"/>
      <c r="YL56" s="4"/>
      <c r="YM56" s="4"/>
      <c r="YN56" s="4"/>
      <c r="YO56" s="4"/>
      <c r="YP56" s="4"/>
      <c r="YQ56" s="4"/>
      <c r="YR56" s="4"/>
      <c r="YS56" s="4"/>
      <c r="YT56" s="4"/>
      <c r="YU56" s="4"/>
      <c r="YV56" s="4"/>
      <c r="YW56" s="4"/>
      <c r="YX56" s="4"/>
      <c r="YY56" s="4"/>
      <c r="YZ56" s="4"/>
      <c r="ZA56" s="4"/>
      <c r="ZB56" s="4"/>
      <c r="ZC56" s="4"/>
      <c r="ZD56" s="4"/>
      <c r="ZE56" s="4"/>
      <c r="ZF56" s="4"/>
      <c r="ZG56" s="4"/>
      <c r="ZH56" s="4"/>
      <c r="ZI56" s="4"/>
      <c r="ZJ56" s="4"/>
      <c r="ZK56" s="4"/>
      <c r="ZL56" s="4"/>
      <c r="ZM56" s="4"/>
      <c r="ZN56" s="4"/>
      <c r="ZO56" s="4"/>
      <c r="ZP56" s="4"/>
      <c r="ZQ56" s="4"/>
      <c r="ZR56" s="4"/>
      <c r="ZS56" s="4"/>
      <c r="ZT56" s="4"/>
      <c r="ZU56" s="4"/>
      <c r="ZV56" s="4"/>
      <c r="ZW56" s="4"/>
      <c r="ZX56" s="4"/>
      <c r="ZY56" s="4"/>
      <c r="ZZ56" s="4"/>
      <c r="AAA56" s="4"/>
      <c r="AAB56" s="4"/>
      <c r="AAC56" s="4"/>
      <c r="AAD56" s="4"/>
      <c r="AAE56" s="4"/>
      <c r="AAF56" s="4"/>
      <c r="AAG56" s="4"/>
      <c r="AAH56" s="4"/>
      <c r="AAI56" s="4"/>
      <c r="AAJ56" s="4"/>
      <c r="AAK56" s="4"/>
      <c r="AAL56" s="4"/>
      <c r="AAM56" s="4"/>
      <c r="AAN56" s="4"/>
      <c r="AAO56" s="4"/>
      <c r="AAP56" s="4"/>
      <c r="AAQ56" s="4"/>
      <c r="AAR56" s="4"/>
      <c r="AAS56" s="4"/>
      <c r="AAT56" s="4"/>
      <c r="AAU56" s="4"/>
      <c r="AAV56" s="4"/>
      <c r="AAW56" s="4"/>
      <c r="AAX56" s="4"/>
      <c r="AAY56" s="4"/>
      <c r="AAZ56" s="4"/>
      <c r="ABA56" s="4"/>
      <c r="ABB56" s="4"/>
      <c r="ABC56" s="4"/>
      <c r="ABD56" s="4"/>
      <c r="ABE56" s="4"/>
      <c r="ABF56" s="4"/>
      <c r="ABG56" s="4"/>
      <c r="ABH56" s="4"/>
      <c r="ABI56" s="4"/>
      <c r="ABJ56" s="4"/>
      <c r="ABK56" s="4"/>
      <c r="ABL56" s="4"/>
      <c r="ABM56" s="4"/>
      <c r="ABN56" s="4"/>
      <c r="ABO56" s="4"/>
      <c r="ABP56" s="4"/>
      <c r="ABQ56" s="4"/>
      <c r="ABR56" s="4"/>
      <c r="ABS56" s="4"/>
      <c r="ABT56" s="4"/>
      <c r="ABU56" s="4"/>
      <c r="ABV56" s="4"/>
      <c r="ABW56" s="4"/>
      <c r="ABX56" s="4"/>
      <c r="ABY56" s="4"/>
      <c r="ABZ56" s="4"/>
      <c r="ACA56" s="4"/>
      <c r="ACB56" s="4"/>
      <c r="ACC56" s="4"/>
      <c r="ACD56" s="4"/>
      <c r="ACE56" s="4"/>
      <c r="ACF56" s="4"/>
      <c r="ACG56" s="4"/>
      <c r="ACH56" s="4"/>
      <c r="ACI56" s="4"/>
      <c r="ACJ56" s="4"/>
      <c r="ACK56" s="4"/>
      <c r="ACL56" s="4"/>
      <c r="ACM56" s="4"/>
      <c r="ACN56" s="4"/>
      <c r="ACO56" s="4"/>
      <c r="ACP56" s="4"/>
      <c r="ACQ56" s="4"/>
      <c r="ACR56" s="4"/>
      <c r="ACS56" s="4"/>
      <c r="ACT56" s="4"/>
      <c r="ACU56" s="4"/>
      <c r="ACV56" s="4"/>
      <c r="ACW56" s="4"/>
      <c r="ACX56" s="4"/>
      <c r="ACY56" s="4"/>
      <c r="ACZ56" s="4"/>
      <c r="ADA56" s="4"/>
      <c r="ADB56" s="4"/>
      <c r="ADC56" s="4"/>
      <c r="ADD56" s="4"/>
      <c r="ADE56" s="4"/>
      <c r="ADF56" s="4"/>
      <c r="ADG56" s="4"/>
      <c r="ADH56" s="4"/>
      <c r="ADI56" s="4"/>
      <c r="ADJ56" s="4"/>
      <c r="ADK56" s="4"/>
      <c r="ADL56" s="4"/>
      <c r="ADM56" s="4"/>
      <c r="ADN56" s="4"/>
      <c r="ADO56" s="4"/>
      <c r="ADP56" s="4"/>
      <c r="ADQ56" s="4"/>
      <c r="ADR56" s="4"/>
      <c r="ADS56" s="4"/>
      <c r="ADT56" s="4"/>
      <c r="ADU56" s="4"/>
      <c r="ADV56" s="4"/>
      <c r="ADW56" s="4"/>
      <c r="ADX56" s="4"/>
      <c r="ADY56" s="4"/>
      <c r="ADZ56" s="4"/>
      <c r="AEA56" s="4"/>
      <c r="AEB56" s="4"/>
      <c r="AEC56" s="4"/>
      <c r="AED56" s="4"/>
      <c r="AEE56" s="4"/>
      <c r="AEF56" s="4"/>
      <c r="AEG56" s="4"/>
      <c r="AEH56" s="4"/>
      <c r="AEI56" s="4"/>
      <c r="AEJ56" s="4"/>
      <c r="AEK56" s="4"/>
      <c r="AEL56" s="4"/>
      <c r="AEM56" s="4"/>
      <c r="AEN56" s="4"/>
      <c r="AEO56" s="4"/>
      <c r="AEP56" s="4"/>
      <c r="AEQ56" s="4"/>
      <c r="AER56" s="4"/>
      <c r="AES56" s="4"/>
      <c r="AET56" s="4"/>
      <c r="AEU56" s="4"/>
      <c r="AEV56" s="4"/>
      <c r="AEW56" s="4"/>
      <c r="AEX56" s="4"/>
      <c r="AEY56" s="4"/>
      <c r="AEZ56" s="4"/>
      <c r="AFA56" s="4"/>
      <c r="AFB56" s="4"/>
      <c r="AFC56" s="4"/>
      <c r="AFD56" s="4"/>
      <c r="AFE56" s="4"/>
      <c r="AFF56" s="4"/>
      <c r="AFG56" s="4"/>
      <c r="AFH56" s="4"/>
      <c r="AFI56" s="4"/>
      <c r="AFJ56" s="4"/>
      <c r="AFK56" s="4"/>
      <c r="AFL56" s="4"/>
      <c r="AFM56" s="4"/>
      <c r="AFN56" s="4"/>
      <c r="AFO56" s="4"/>
      <c r="AFP56" s="4"/>
      <c r="AFQ56" s="4"/>
      <c r="AFR56" s="4"/>
      <c r="AFS56" s="4"/>
      <c r="AFT56" s="4"/>
      <c r="AFU56" s="4"/>
      <c r="AFV56" s="4"/>
      <c r="AFW56" s="4"/>
      <c r="AFX56" s="4"/>
      <c r="AFY56" s="4"/>
      <c r="AFZ56" s="4"/>
      <c r="AGA56" s="4"/>
      <c r="AGB56" s="4"/>
      <c r="AGC56" s="4"/>
      <c r="AGD56" s="4"/>
      <c r="AGE56" s="4"/>
      <c r="AGF56" s="4"/>
      <c r="AGG56" s="4"/>
      <c r="AGH56" s="4"/>
      <c r="AGI56" s="4"/>
      <c r="AGJ56" s="4"/>
      <c r="AGK56" s="4"/>
      <c r="AGL56" s="4"/>
      <c r="AGM56" s="4"/>
      <c r="AGN56" s="4"/>
      <c r="AGO56" s="4"/>
      <c r="AGP56" s="4"/>
      <c r="AGQ56" s="4"/>
      <c r="AGR56" s="4"/>
      <c r="AGS56" s="4"/>
      <c r="AGT56" s="4"/>
      <c r="AGU56" s="4"/>
      <c r="AGV56" s="4"/>
      <c r="AGW56" s="4"/>
      <c r="AGX56" s="4"/>
      <c r="AGY56" s="4"/>
      <c r="AGZ56" s="4"/>
      <c r="AHA56" s="4"/>
      <c r="AHB56" s="4"/>
      <c r="AHC56" s="4"/>
      <c r="AHD56" s="4"/>
      <c r="AHE56" s="4"/>
      <c r="AHF56" s="4"/>
      <c r="AHG56" s="4"/>
      <c r="AHH56" s="4"/>
      <c r="AHI56" s="4"/>
      <c r="AHJ56" s="4"/>
      <c r="AHK56" s="4"/>
      <c r="AHL56" s="4"/>
      <c r="AHM56" s="4"/>
      <c r="AHN56" s="4"/>
      <c r="AHO56" s="4"/>
      <c r="AHP56" s="4"/>
      <c r="AHQ56" s="4"/>
      <c r="AHR56" s="4"/>
      <c r="AHS56" s="4"/>
      <c r="AHT56" s="4"/>
      <c r="AHU56" s="4"/>
      <c r="AHV56" s="4"/>
      <c r="AHW56" s="4"/>
      <c r="AHX56" s="4"/>
      <c r="AHY56" s="4"/>
      <c r="AHZ56" s="4"/>
      <c r="AIA56" s="4"/>
      <c r="AIB56" s="4"/>
      <c r="AIC56" s="4"/>
      <c r="AID56" s="4"/>
      <c r="AIE56" s="4"/>
      <c r="AIF56" s="4"/>
      <c r="AIG56" s="4"/>
      <c r="AIH56" s="4"/>
      <c r="AII56" s="4"/>
      <c r="AIJ56" s="4"/>
      <c r="AIK56" s="4"/>
      <c r="AIL56" s="4"/>
      <c r="AIM56" s="4"/>
      <c r="AIN56" s="4"/>
      <c r="AIO56" s="4"/>
      <c r="AIP56" s="4"/>
      <c r="AIQ56" s="4"/>
      <c r="AIR56" s="4"/>
      <c r="AIS56" s="4"/>
      <c r="AIT56" s="4"/>
      <c r="AIU56" s="4"/>
      <c r="AIV56" s="4"/>
      <c r="AIW56" s="4"/>
      <c r="AIX56" s="4"/>
      <c r="AIY56" s="4"/>
      <c r="AIZ56" s="4"/>
      <c r="AJA56" s="4"/>
      <c r="AJB56" s="4"/>
      <c r="AJC56" s="4"/>
      <c r="AJD56" s="4"/>
      <c r="AJE56" s="4"/>
      <c r="AJF56" s="4"/>
      <c r="AJG56" s="4"/>
      <c r="AJH56" s="4"/>
      <c r="AJI56" s="4"/>
      <c r="AJJ56" s="4"/>
      <c r="AJK56" s="4"/>
      <c r="AJL56" s="4"/>
      <c r="AJM56" s="4"/>
      <c r="AJN56" s="4"/>
      <c r="AJO56" s="4"/>
      <c r="AJP56" s="4"/>
      <c r="AJQ56" s="4"/>
      <c r="AJR56" s="4"/>
      <c r="AJS56" s="4"/>
      <c r="AJT56" s="4"/>
      <c r="AJU56" s="4"/>
      <c r="AJV56" s="4"/>
      <c r="AJW56" s="4"/>
      <c r="AJX56" s="4"/>
      <c r="AJY56" s="4"/>
      <c r="AJZ56" s="4"/>
      <c r="AKA56" s="4"/>
      <c r="AKB56" s="4"/>
      <c r="AKC56" s="4"/>
      <c r="AKD56" s="4"/>
      <c r="AKE56" s="4"/>
      <c r="AKF56" s="4"/>
      <c r="AKG56" s="4"/>
      <c r="AKH56" s="4"/>
      <c r="AKI56" s="4"/>
      <c r="AKJ56" s="4"/>
      <c r="AKK56" s="4"/>
      <c r="AKL56" s="4"/>
      <c r="AKM56" s="4"/>
      <c r="AKN56" s="4"/>
      <c r="AKO56" s="4"/>
      <c r="AKP56" s="4"/>
      <c r="AKQ56" s="4"/>
      <c r="AKR56" s="4"/>
      <c r="AKS56" s="4"/>
      <c r="AKT56" s="4"/>
      <c r="AKU56" s="4"/>
      <c r="AKV56" s="4"/>
      <c r="AKW56" s="4"/>
      <c r="AKX56" s="4"/>
      <c r="AKY56" s="4"/>
      <c r="AKZ56" s="4"/>
      <c r="ALA56" s="4"/>
      <c r="ALB56" s="4"/>
      <c r="ALC56" s="4"/>
      <c r="ALD56" s="4"/>
      <c r="ALE56" s="4"/>
      <c r="ALF56" s="4"/>
      <c r="ALG56" s="4"/>
      <c r="ALH56" s="4"/>
      <c r="ALI56" s="4"/>
      <c r="ALJ56" s="4"/>
      <c r="ALK56" s="4"/>
      <c r="ALL56" s="4"/>
      <c r="ALM56" s="4"/>
      <c r="ALN56" s="4"/>
      <c r="ALO56" s="4"/>
      <c r="ALP56" s="4"/>
      <c r="ALQ56" s="4"/>
      <c r="ALR56" s="4"/>
      <c r="ALS56" s="4"/>
      <c r="ALT56" s="4"/>
      <c r="ALU56" s="4"/>
      <c r="ALV56" s="4"/>
      <c r="ALW56" s="4"/>
      <c r="ALX56" s="4"/>
      <c r="ALY56" s="4"/>
      <c r="ALZ56" s="4"/>
      <c r="AMA56" s="4"/>
      <c r="AMB56" s="4"/>
      <c r="AMC56" s="4"/>
      <c r="AMD56" s="4"/>
      <c r="AME56" s="4"/>
      <c r="AMF56" s="4"/>
    </row>
    <row r="57" spans="1:1020" s="9" customFormat="1" ht="47.25" customHeight="1" x14ac:dyDescent="0.25">
      <c r="A57" s="147" t="s">
        <v>2</v>
      </c>
      <c r="B57" s="147"/>
      <c r="C57" s="148" t="s">
        <v>1149</v>
      </c>
      <c r="D57" s="149"/>
      <c r="E57" s="149"/>
      <c r="F57" s="149"/>
      <c r="G57" s="149"/>
      <c r="H57" s="150"/>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c r="RJ57" s="4"/>
      <c r="RK57" s="4"/>
      <c r="RL57" s="4"/>
      <c r="RM57" s="4"/>
      <c r="RN57" s="4"/>
      <c r="RO57" s="4"/>
      <c r="RP57" s="4"/>
      <c r="RQ57" s="4"/>
      <c r="RR57" s="4"/>
      <c r="RS57" s="4"/>
      <c r="RT57" s="4"/>
      <c r="RU57" s="4"/>
      <c r="RV57" s="4"/>
      <c r="RW57" s="4"/>
      <c r="RX57" s="4"/>
      <c r="RY57" s="4"/>
      <c r="RZ57" s="4"/>
      <c r="SA57" s="4"/>
      <c r="SB57" s="4"/>
      <c r="SC57" s="4"/>
      <c r="SD57" s="4"/>
      <c r="SE57" s="4"/>
      <c r="SF57" s="4"/>
      <c r="SG57" s="4"/>
      <c r="SH57" s="4"/>
      <c r="SI57" s="4"/>
      <c r="SJ57" s="4"/>
      <c r="SK57" s="4"/>
      <c r="SL57" s="4"/>
      <c r="SM57" s="4"/>
      <c r="SN57" s="4"/>
      <c r="SO57" s="4"/>
      <c r="SP57" s="4"/>
      <c r="SQ57" s="4"/>
      <c r="SR57" s="4"/>
      <c r="SS57" s="4"/>
      <c r="ST57" s="4"/>
      <c r="SU57" s="4"/>
      <c r="SV57" s="4"/>
      <c r="SW57" s="4"/>
      <c r="SX57" s="4"/>
      <c r="SY57" s="4"/>
      <c r="SZ57" s="4"/>
      <c r="TA57" s="4"/>
      <c r="TB57" s="4"/>
      <c r="TC57" s="4"/>
      <c r="TD57" s="4"/>
      <c r="TE57" s="4"/>
      <c r="TF57" s="4"/>
      <c r="TG57" s="4"/>
      <c r="TH57" s="4"/>
      <c r="TI57" s="4"/>
      <c r="TJ57" s="4"/>
      <c r="TK57" s="4"/>
      <c r="TL57" s="4"/>
      <c r="TM57" s="4"/>
      <c r="TN57" s="4"/>
      <c r="TO57" s="4"/>
      <c r="TP57" s="4"/>
      <c r="TQ57" s="4"/>
      <c r="TR57" s="4"/>
      <c r="TS57" s="4"/>
      <c r="TT57" s="4"/>
      <c r="TU57" s="4"/>
      <c r="TV57" s="4"/>
      <c r="TW57" s="4"/>
      <c r="TX57" s="4"/>
      <c r="TY57" s="4"/>
      <c r="TZ57" s="4"/>
      <c r="UA57" s="4"/>
      <c r="UB57" s="4"/>
      <c r="UC57" s="4"/>
      <c r="UD57" s="4"/>
      <c r="UE57" s="4"/>
      <c r="UF57" s="4"/>
      <c r="UG57" s="4"/>
      <c r="UH57" s="4"/>
      <c r="UI57" s="4"/>
      <c r="UJ57" s="4"/>
      <c r="UK57" s="4"/>
      <c r="UL57" s="4"/>
      <c r="UM57" s="4"/>
      <c r="UN57" s="4"/>
      <c r="UO57" s="4"/>
      <c r="UP57" s="4"/>
      <c r="UQ57" s="4"/>
      <c r="UR57" s="4"/>
      <c r="US57" s="4"/>
      <c r="UT57" s="4"/>
      <c r="UU57" s="4"/>
      <c r="UV57" s="4"/>
      <c r="UW57" s="4"/>
      <c r="UX57" s="4"/>
      <c r="UY57" s="4"/>
      <c r="UZ57" s="4"/>
      <c r="VA57" s="4"/>
      <c r="VB57" s="4"/>
      <c r="VC57" s="4"/>
      <c r="VD57" s="4"/>
      <c r="VE57" s="4"/>
      <c r="VF57" s="4"/>
      <c r="VG57" s="4"/>
      <c r="VH57" s="4"/>
      <c r="VI57" s="4"/>
      <c r="VJ57" s="4"/>
      <c r="VK57" s="4"/>
      <c r="VL57" s="4"/>
      <c r="VM57" s="4"/>
      <c r="VN57" s="4"/>
      <c r="VO57" s="4"/>
      <c r="VP57" s="4"/>
      <c r="VQ57" s="4"/>
      <c r="VR57" s="4"/>
      <c r="VS57" s="4"/>
      <c r="VT57" s="4"/>
      <c r="VU57" s="4"/>
      <c r="VV57" s="4"/>
      <c r="VW57" s="4"/>
      <c r="VX57" s="4"/>
      <c r="VY57" s="4"/>
      <c r="VZ57" s="4"/>
      <c r="WA57" s="4"/>
      <c r="WB57" s="4"/>
      <c r="WC57" s="4"/>
      <c r="WD57" s="4"/>
      <c r="WE57" s="4"/>
      <c r="WF57" s="4"/>
      <c r="WG57" s="4"/>
      <c r="WH57" s="4"/>
      <c r="WI57" s="4"/>
      <c r="WJ57" s="4"/>
      <c r="WK57" s="4"/>
      <c r="WL57" s="4"/>
      <c r="WM57" s="4"/>
      <c r="WN57" s="4"/>
      <c r="WO57" s="4"/>
      <c r="WP57" s="4"/>
      <c r="WQ57" s="4"/>
      <c r="WR57" s="4"/>
      <c r="WS57" s="4"/>
      <c r="WT57" s="4"/>
      <c r="WU57" s="4"/>
      <c r="WV57" s="4"/>
      <c r="WW57" s="4"/>
      <c r="WX57" s="4"/>
      <c r="WY57" s="4"/>
      <c r="WZ57" s="4"/>
      <c r="XA57" s="4"/>
      <c r="XB57" s="4"/>
      <c r="XC57" s="4"/>
      <c r="XD57" s="4"/>
      <c r="XE57" s="4"/>
      <c r="XF57" s="4"/>
      <c r="XG57" s="4"/>
      <c r="XH57" s="4"/>
      <c r="XI57" s="4"/>
      <c r="XJ57" s="4"/>
      <c r="XK57" s="4"/>
      <c r="XL57" s="4"/>
      <c r="XM57" s="4"/>
      <c r="XN57" s="4"/>
      <c r="XO57" s="4"/>
      <c r="XP57" s="4"/>
      <c r="XQ57" s="4"/>
      <c r="XR57" s="4"/>
      <c r="XS57" s="4"/>
      <c r="XT57" s="4"/>
      <c r="XU57" s="4"/>
      <c r="XV57" s="4"/>
      <c r="XW57" s="4"/>
      <c r="XX57" s="4"/>
      <c r="XY57" s="4"/>
      <c r="XZ57" s="4"/>
      <c r="YA57" s="4"/>
      <c r="YB57" s="4"/>
      <c r="YC57" s="4"/>
      <c r="YD57" s="4"/>
      <c r="YE57" s="4"/>
      <c r="YF57" s="4"/>
      <c r="YG57" s="4"/>
      <c r="YH57" s="4"/>
      <c r="YI57" s="4"/>
      <c r="YJ57" s="4"/>
      <c r="YK57" s="4"/>
      <c r="YL57" s="4"/>
      <c r="YM57" s="4"/>
      <c r="YN57" s="4"/>
      <c r="YO57" s="4"/>
      <c r="YP57" s="4"/>
      <c r="YQ57" s="4"/>
      <c r="YR57" s="4"/>
      <c r="YS57" s="4"/>
      <c r="YT57" s="4"/>
      <c r="YU57" s="4"/>
      <c r="YV57" s="4"/>
      <c r="YW57" s="4"/>
      <c r="YX57" s="4"/>
      <c r="YY57" s="4"/>
      <c r="YZ57" s="4"/>
      <c r="ZA57" s="4"/>
      <c r="ZB57" s="4"/>
      <c r="ZC57" s="4"/>
      <c r="ZD57" s="4"/>
      <c r="ZE57" s="4"/>
      <c r="ZF57" s="4"/>
      <c r="ZG57" s="4"/>
      <c r="ZH57" s="4"/>
      <c r="ZI57" s="4"/>
      <c r="ZJ57" s="4"/>
      <c r="ZK57" s="4"/>
      <c r="ZL57" s="4"/>
      <c r="ZM57" s="4"/>
      <c r="ZN57" s="4"/>
      <c r="ZO57" s="4"/>
      <c r="ZP57" s="4"/>
      <c r="ZQ57" s="4"/>
      <c r="ZR57" s="4"/>
      <c r="ZS57" s="4"/>
      <c r="ZT57" s="4"/>
      <c r="ZU57" s="4"/>
      <c r="ZV57" s="4"/>
      <c r="ZW57" s="4"/>
      <c r="ZX57" s="4"/>
      <c r="ZY57" s="4"/>
      <c r="ZZ57" s="4"/>
      <c r="AAA57" s="4"/>
      <c r="AAB57" s="4"/>
      <c r="AAC57" s="4"/>
      <c r="AAD57" s="4"/>
      <c r="AAE57" s="4"/>
      <c r="AAF57" s="4"/>
      <c r="AAG57" s="4"/>
      <c r="AAH57" s="4"/>
      <c r="AAI57" s="4"/>
      <c r="AAJ57" s="4"/>
      <c r="AAK57" s="4"/>
      <c r="AAL57" s="4"/>
      <c r="AAM57" s="4"/>
      <c r="AAN57" s="4"/>
      <c r="AAO57" s="4"/>
      <c r="AAP57" s="4"/>
      <c r="AAQ57" s="4"/>
      <c r="AAR57" s="4"/>
      <c r="AAS57" s="4"/>
      <c r="AAT57" s="4"/>
      <c r="AAU57" s="4"/>
      <c r="AAV57" s="4"/>
      <c r="AAW57" s="4"/>
      <c r="AAX57" s="4"/>
      <c r="AAY57" s="4"/>
      <c r="AAZ57" s="4"/>
      <c r="ABA57" s="4"/>
      <c r="ABB57" s="4"/>
      <c r="ABC57" s="4"/>
      <c r="ABD57" s="4"/>
      <c r="ABE57" s="4"/>
      <c r="ABF57" s="4"/>
      <c r="ABG57" s="4"/>
      <c r="ABH57" s="4"/>
      <c r="ABI57" s="4"/>
      <c r="ABJ57" s="4"/>
      <c r="ABK57" s="4"/>
      <c r="ABL57" s="4"/>
      <c r="ABM57" s="4"/>
      <c r="ABN57" s="4"/>
      <c r="ABO57" s="4"/>
      <c r="ABP57" s="4"/>
      <c r="ABQ57" s="4"/>
      <c r="ABR57" s="4"/>
      <c r="ABS57" s="4"/>
      <c r="ABT57" s="4"/>
      <c r="ABU57" s="4"/>
      <c r="ABV57" s="4"/>
      <c r="ABW57" s="4"/>
      <c r="ABX57" s="4"/>
      <c r="ABY57" s="4"/>
      <c r="ABZ57" s="4"/>
      <c r="ACA57" s="4"/>
      <c r="ACB57" s="4"/>
      <c r="ACC57" s="4"/>
      <c r="ACD57" s="4"/>
      <c r="ACE57" s="4"/>
      <c r="ACF57" s="4"/>
      <c r="ACG57" s="4"/>
      <c r="ACH57" s="4"/>
      <c r="ACI57" s="4"/>
      <c r="ACJ57" s="4"/>
      <c r="ACK57" s="4"/>
      <c r="ACL57" s="4"/>
      <c r="ACM57" s="4"/>
      <c r="ACN57" s="4"/>
      <c r="ACO57" s="4"/>
      <c r="ACP57" s="4"/>
      <c r="ACQ57" s="4"/>
      <c r="ACR57" s="4"/>
      <c r="ACS57" s="4"/>
      <c r="ACT57" s="4"/>
      <c r="ACU57" s="4"/>
      <c r="ACV57" s="4"/>
      <c r="ACW57" s="4"/>
      <c r="ACX57" s="4"/>
      <c r="ACY57" s="4"/>
      <c r="ACZ57" s="4"/>
      <c r="ADA57" s="4"/>
      <c r="ADB57" s="4"/>
      <c r="ADC57" s="4"/>
      <c r="ADD57" s="4"/>
      <c r="ADE57" s="4"/>
      <c r="ADF57" s="4"/>
      <c r="ADG57" s="4"/>
      <c r="ADH57" s="4"/>
      <c r="ADI57" s="4"/>
      <c r="ADJ57" s="4"/>
      <c r="ADK57" s="4"/>
      <c r="ADL57" s="4"/>
      <c r="ADM57" s="4"/>
      <c r="ADN57" s="4"/>
      <c r="ADO57" s="4"/>
      <c r="ADP57" s="4"/>
      <c r="ADQ57" s="4"/>
      <c r="ADR57" s="4"/>
      <c r="ADS57" s="4"/>
      <c r="ADT57" s="4"/>
      <c r="ADU57" s="4"/>
      <c r="ADV57" s="4"/>
      <c r="ADW57" s="4"/>
      <c r="ADX57" s="4"/>
      <c r="ADY57" s="4"/>
      <c r="ADZ57" s="4"/>
      <c r="AEA57" s="4"/>
      <c r="AEB57" s="4"/>
      <c r="AEC57" s="4"/>
      <c r="AED57" s="4"/>
      <c r="AEE57" s="4"/>
      <c r="AEF57" s="4"/>
      <c r="AEG57" s="4"/>
      <c r="AEH57" s="4"/>
      <c r="AEI57" s="4"/>
      <c r="AEJ57" s="4"/>
      <c r="AEK57" s="4"/>
      <c r="AEL57" s="4"/>
      <c r="AEM57" s="4"/>
      <c r="AEN57" s="4"/>
      <c r="AEO57" s="4"/>
      <c r="AEP57" s="4"/>
      <c r="AEQ57" s="4"/>
      <c r="AER57" s="4"/>
      <c r="AES57" s="4"/>
      <c r="AET57" s="4"/>
      <c r="AEU57" s="4"/>
      <c r="AEV57" s="4"/>
      <c r="AEW57" s="4"/>
      <c r="AEX57" s="4"/>
      <c r="AEY57" s="4"/>
      <c r="AEZ57" s="4"/>
      <c r="AFA57" s="4"/>
      <c r="AFB57" s="4"/>
      <c r="AFC57" s="4"/>
      <c r="AFD57" s="4"/>
      <c r="AFE57" s="4"/>
      <c r="AFF57" s="4"/>
      <c r="AFG57" s="4"/>
      <c r="AFH57" s="4"/>
      <c r="AFI57" s="4"/>
      <c r="AFJ57" s="4"/>
      <c r="AFK57" s="4"/>
      <c r="AFL57" s="4"/>
      <c r="AFM57" s="4"/>
      <c r="AFN57" s="4"/>
      <c r="AFO57" s="4"/>
      <c r="AFP57" s="4"/>
      <c r="AFQ57" s="4"/>
      <c r="AFR57" s="4"/>
      <c r="AFS57" s="4"/>
      <c r="AFT57" s="4"/>
      <c r="AFU57" s="4"/>
      <c r="AFV57" s="4"/>
      <c r="AFW57" s="4"/>
      <c r="AFX57" s="4"/>
      <c r="AFY57" s="4"/>
      <c r="AFZ57" s="4"/>
      <c r="AGA57" s="4"/>
      <c r="AGB57" s="4"/>
      <c r="AGC57" s="4"/>
      <c r="AGD57" s="4"/>
      <c r="AGE57" s="4"/>
      <c r="AGF57" s="4"/>
      <c r="AGG57" s="4"/>
      <c r="AGH57" s="4"/>
      <c r="AGI57" s="4"/>
      <c r="AGJ57" s="4"/>
      <c r="AGK57" s="4"/>
      <c r="AGL57" s="4"/>
      <c r="AGM57" s="4"/>
      <c r="AGN57" s="4"/>
      <c r="AGO57" s="4"/>
      <c r="AGP57" s="4"/>
      <c r="AGQ57" s="4"/>
      <c r="AGR57" s="4"/>
      <c r="AGS57" s="4"/>
      <c r="AGT57" s="4"/>
      <c r="AGU57" s="4"/>
      <c r="AGV57" s="4"/>
      <c r="AGW57" s="4"/>
      <c r="AGX57" s="4"/>
      <c r="AGY57" s="4"/>
      <c r="AGZ57" s="4"/>
      <c r="AHA57" s="4"/>
      <c r="AHB57" s="4"/>
      <c r="AHC57" s="4"/>
      <c r="AHD57" s="4"/>
      <c r="AHE57" s="4"/>
      <c r="AHF57" s="4"/>
      <c r="AHG57" s="4"/>
      <c r="AHH57" s="4"/>
      <c r="AHI57" s="4"/>
      <c r="AHJ57" s="4"/>
      <c r="AHK57" s="4"/>
      <c r="AHL57" s="4"/>
      <c r="AHM57" s="4"/>
      <c r="AHN57" s="4"/>
      <c r="AHO57" s="4"/>
      <c r="AHP57" s="4"/>
      <c r="AHQ57" s="4"/>
      <c r="AHR57" s="4"/>
      <c r="AHS57" s="4"/>
      <c r="AHT57" s="4"/>
      <c r="AHU57" s="4"/>
      <c r="AHV57" s="4"/>
      <c r="AHW57" s="4"/>
      <c r="AHX57" s="4"/>
      <c r="AHY57" s="4"/>
      <c r="AHZ57" s="4"/>
      <c r="AIA57" s="4"/>
      <c r="AIB57" s="4"/>
      <c r="AIC57" s="4"/>
      <c r="AID57" s="4"/>
      <c r="AIE57" s="4"/>
      <c r="AIF57" s="4"/>
      <c r="AIG57" s="4"/>
      <c r="AIH57" s="4"/>
      <c r="AII57" s="4"/>
      <c r="AIJ57" s="4"/>
      <c r="AIK57" s="4"/>
      <c r="AIL57" s="4"/>
      <c r="AIM57" s="4"/>
      <c r="AIN57" s="4"/>
      <c r="AIO57" s="4"/>
      <c r="AIP57" s="4"/>
      <c r="AIQ57" s="4"/>
      <c r="AIR57" s="4"/>
      <c r="AIS57" s="4"/>
      <c r="AIT57" s="4"/>
      <c r="AIU57" s="4"/>
      <c r="AIV57" s="4"/>
      <c r="AIW57" s="4"/>
      <c r="AIX57" s="4"/>
      <c r="AIY57" s="4"/>
      <c r="AIZ57" s="4"/>
      <c r="AJA57" s="4"/>
      <c r="AJB57" s="4"/>
      <c r="AJC57" s="4"/>
      <c r="AJD57" s="4"/>
      <c r="AJE57" s="4"/>
      <c r="AJF57" s="4"/>
      <c r="AJG57" s="4"/>
      <c r="AJH57" s="4"/>
      <c r="AJI57" s="4"/>
      <c r="AJJ57" s="4"/>
      <c r="AJK57" s="4"/>
      <c r="AJL57" s="4"/>
      <c r="AJM57" s="4"/>
      <c r="AJN57" s="4"/>
      <c r="AJO57" s="4"/>
      <c r="AJP57" s="4"/>
      <c r="AJQ57" s="4"/>
      <c r="AJR57" s="4"/>
      <c r="AJS57" s="4"/>
      <c r="AJT57" s="4"/>
      <c r="AJU57" s="4"/>
      <c r="AJV57" s="4"/>
      <c r="AJW57" s="4"/>
      <c r="AJX57" s="4"/>
      <c r="AJY57" s="4"/>
      <c r="AJZ57" s="4"/>
      <c r="AKA57" s="4"/>
      <c r="AKB57" s="4"/>
      <c r="AKC57" s="4"/>
      <c r="AKD57" s="4"/>
      <c r="AKE57" s="4"/>
      <c r="AKF57" s="4"/>
      <c r="AKG57" s="4"/>
      <c r="AKH57" s="4"/>
      <c r="AKI57" s="4"/>
      <c r="AKJ57" s="4"/>
      <c r="AKK57" s="4"/>
      <c r="AKL57" s="4"/>
      <c r="AKM57" s="4"/>
      <c r="AKN57" s="4"/>
      <c r="AKO57" s="4"/>
      <c r="AKP57" s="4"/>
      <c r="AKQ57" s="4"/>
      <c r="AKR57" s="4"/>
      <c r="AKS57" s="4"/>
      <c r="AKT57" s="4"/>
      <c r="AKU57" s="4"/>
      <c r="AKV57" s="4"/>
      <c r="AKW57" s="4"/>
      <c r="AKX57" s="4"/>
      <c r="AKY57" s="4"/>
      <c r="AKZ57" s="4"/>
      <c r="ALA57" s="4"/>
      <c r="ALB57" s="4"/>
      <c r="ALC57" s="4"/>
      <c r="ALD57" s="4"/>
      <c r="ALE57" s="4"/>
      <c r="ALF57" s="4"/>
      <c r="ALG57" s="4"/>
      <c r="ALH57" s="4"/>
      <c r="ALI57" s="4"/>
      <c r="ALJ57" s="4"/>
      <c r="ALK57" s="4"/>
      <c r="ALL57" s="4"/>
      <c r="ALM57" s="4"/>
      <c r="ALN57" s="4"/>
      <c r="ALO57" s="4"/>
      <c r="ALP57" s="4"/>
      <c r="ALQ57" s="4"/>
      <c r="ALR57" s="4"/>
      <c r="ALS57" s="4"/>
      <c r="ALT57" s="4"/>
      <c r="ALU57" s="4"/>
      <c r="ALV57" s="4"/>
      <c r="ALW57" s="4"/>
      <c r="ALX57" s="4"/>
      <c r="ALY57" s="4"/>
      <c r="ALZ57" s="4"/>
      <c r="AMA57" s="4"/>
      <c r="AMB57" s="4"/>
      <c r="AMC57" s="4"/>
      <c r="AMD57" s="4"/>
      <c r="AME57" s="4"/>
      <c r="AMF57" s="4"/>
    </row>
    <row r="58" spans="1:1020" s="9" customFormat="1" ht="36" customHeight="1" x14ac:dyDescent="0.25">
      <c r="A58" s="147" t="s">
        <v>3</v>
      </c>
      <c r="B58" s="147"/>
      <c r="C58" s="148" t="s">
        <v>1150</v>
      </c>
      <c r="D58" s="149"/>
      <c r="E58" s="149"/>
      <c r="F58" s="149"/>
      <c r="G58" s="149"/>
      <c r="H58" s="150"/>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c r="PF58" s="4"/>
      <c r="PG58" s="4"/>
      <c r="PH58" s="4"/>
      <c r="PI58" s="4"/>
      <c r="PJ58" s="4"/>
      <c r="PK58" s="4"/>
      <c r="PL58" s="4"/>
      <c r="PM58" s="4"/>
      <c r="PN58" s="4"/>
      <c r="PO58" s="4"/>
      <c r="PP58" s="4"/>
      <c r="PQ58" s="4"/>
      <c r="PR58" s="4"/>
      <c r="PS58" s="4"/>
      <c r="PT58" s="4"/>
      <c r="PU58" s="4"/>
      <c r="PV58" s="4"/>
      <c r="PW58" s="4"/>
      <c r="PX58" s="4"/>
      <c r="PY58" s="4"/>
      <c r="PZ58" s="4"/>
      <c r="QA58" s="4"/>
      <c r="QB58" s="4"/>
      <c r="QC58" s="4"/>
      <c r="QD58" s="4"/>
      <c r="QE58" s="4"/>
      <c r="QF58" s="4"/>
      <c r="QG58" s="4"/>
      <c r="QH58" s="4"/>
      <c r="QI58" s="4"/>
      <c r="QJ58" s="4"/>
      <c r="QK58" s="4"/>
      <c r="QL58" s="4"/>
      <c r="QM58" s="4"/>
      <c r="QN58" s="4"/>
      <c r="QO58" s="4"/>
      <c r="QP58" s="4"/>
      <c r="QQ58" s="4"/>
      <c r="QR58" s="4"/>
      <c r="QS58" s="4"/>
      <c r="QT58" s="4"/>
      <c r="QU58" s="4"/>
      <c r="QV58" s="4"/>
      <c r="QW58" s="4"/>
      <c r="QX58" s="4"/>
      <c r="QY58" s="4"/>
      <c r="QZ58" s="4"/>
      <c r="RA58" s="4"/>
      <c r="RB58" s="4"/>
      <c r="RC58" s="4"/>
      <c r="RD58" s="4"/>
      <c r="RE58" s="4"/>
      <c r="RF58" s="4"/>
      <c r="RG58" s="4"/>
      <c r="RH58" s="4"/>
      <c r="RI58" s="4"/>
      <c r="RJ58" s="4"/>
      <c r="RK58" s="4"/>
      <c r="RL58" s="4"/>
      <c r="RM58" s="4"/>
      <c r="RN58" s="4"/>
      <c r="RO58" s="4"/>
      <c r="RP58" s="4"/>
      <c r="RQ58" s="4"/>
      <c r="RR58" s="4"/>
      <c r="RS58" s="4"/>
      <c r="RT58" s="4"/>
      <c r="RU58" s="4"/>
      <c r="RV58" s="4"/>
      <c r="RW58" s="4"/>
      <c r="RX58" s="4"/>
      <c r="RY58" s="4"/>
      <c r="RZ58" s="4"/>
      <c r="SA58" s="4"/>
      <c r="SB58" s="4"/>
      <c r="SC58" s="4"/>
      <c r="SD58" s="4"/>
      <c r="SE58" s="4"/>
      <c r="SF58" s="4"/>
      <c r="SG58" s="4"/>
      <c r="SH58" s="4"/>
      <c r="SI58" s="4"/>
      <c r="SJ58" s="4"/>
      <c r="SK58" s="4"/>
      <c r="SL58" s="4"/>
      <c r="SM58" s="4"/>
      <c r="SN58" s="4"/>
      <c r="SO58" s="4"/>
      <c r="SP58" s="4"/>
      <c r="SQ58" s="4"/>
      <c r="SR58" s="4"/>
      <c r="SS58" s="4"/>
      <c r="ST58" s="4"/>
      <c r="SU58" s="4"/>
      <c r="SV58" s="4"/>
      <c r="SW58" s="4"/>
      <c r="SX58" s="4"/>
      <c r="SY58" s="4"/>
      <c r="SZ58" s="4"/>
      <c r="TA58" s="4"/>
      <c r="TB58" s="4"/>
      <c r="TC58" s="4"/>
      <c r="TD58" s="4"/>
      <c r="TE58" s="4"/>
      <c r="TF58" s="4"/>
      <c r="TG58" s="4"/>
      <c r="TH58" s="4"/>
      <c r="TI58" s="4"/>
      <c r="TJ58" s="4"/>
      <c r="TK58" s="4"/>
      <c r="TL58" s="4"/>
      <c r="TM58" s="4"/>
      <c r="TN58" s="4"/>
      <c r="TO58" s="4"/>
      <c r="TP58" s="4"/>
      <c r="TQ58" s="4"/>
      <c r="TR58" s="4"/>
      <c r="TS58" s="4"/>
      <c r="TT58" s="4"/>
      <c r="TU58" s="4"/>
      <c r="TV58" s="4"/>
      <c r="TW58" s="4"/>
      <c r="TX58" s="4"/>
      <c r="TY58" s="4"/>
      <c r="TZ58" s="4"/>
      <c r="UA58" s="4"/>
      <c r="UB58" s="4"/>
      <c r="UC58" s="4"/>
      <c r="UD58" s="4"/>
      <c r="UE58" s="4"/>
      <c r="UF58" s="4"/>
      <c r="UG58" s="4"/>
      <c r="UH58" s="4"/>
      <c r="UI58" s="4"/>
      <c r="UJ58" s="4"/>
      <c r="UK58" s="4"/>
      <c r="UL58" s="4"/>
      <c r="UM58" s="4"/>
      <c r="UN58" s="4"/>
      <c r="UO58" s="4"/>
      <c r="UP58" s="4"/>
      <c r="UQ58" s="4"/>
      <c r="UR58" s="4"/>
      <c r="US58" s="4"/>
      <c r="UT58" s="4"/>
      <c r="UU58" s="4"/>
      <c r="UV58" s="4"/>
      <c r="UW58" s="4"/>
      <c r="UX58" s="4"/>
      <c r="UY58" s="4"/>
      <c r="UZ58" s="4"/>
      <c r="VA58" s="4"/>
      <c r="VB58" s="4"/>
      <c r="VC58" s="4"/>
      <c r="VD58" s="4"/>
      <c r="VE58" s="4"/>
      <c r="VF58" s="4"/>
      <c r="VG58" s="4"/>
      <c r="VH58" s="4"/>
      <c r="VI58" s="4"/>
      <c r="VJ58" s="4"/>
      <c r="VK58" s="4"/>
      <c r="VL58" s="4"/>
      <c r="VM58" s="4"/>
      <c r="VN58" s="4"/>
      <c r="VO58" s="4"/>
      <c r="VP58" s="4"/>
      <c r="VQ58" s="4"/>
      <c r="VR58" s="4"/>
      <c r="VS58" s="4"/>
      <c r="VT58" s="4"/>
      <c r="VU58" s="4"/>
      <c r="VV58" s="4"/>
      <c r="VW58" s="4"/>
      <c r="VX58" s="4"/>
      <c r="VY58" s="4"/>
      <c r="VZ58" s="4"/>
      <c r="WA58" s="4"/>
      <c r="WB58" s="4"/>
      <c r="WC58" s="4"/>
      <c r="WD58" s="4"/>
      <c r="WE58" s="4"/>
      <c r="WF58" s="4"/>
      <c r="WG58" s="4"/>
      <c r="WH58" s="4"/>
      <c r="WI58" s="4"/>
      <c r="WJ58" s="4"/>
      <c r="WK58" s="4"/>
      <c r="WL58" s="4"/>
      <c r="WM58" s="4"/>
      <c r="WN58" s="4"/>
      <c r="WO58" s="4"/>
      <c r="WP58" s="4"/>
      <c r="WQ58" s="4"/>
      <c r="WR58" s="4"/>
      <c r="WS58" s="4"/>
      <c r="WT58" s="4"/>
      <c r="WU58" s="4"/>
      <c r="WV58" s="4"/>
      <c r="WW58" s="4"/>
      <c r="WX58" s="4"/>
      <c r="WY58" s="4"/>
      <c r="WZ58" s="4"/>
      <c r="XA58" s="4"/>
      <c r="XB58" s="4"/>
      <c r="XC58" s="4"/>
      <c r="XD58" s="4"/>
      <c r="XE58" s="4"/>
      <c r="XF58" s="4"/>
      <c r="XG58" s="4"/>
      <c r="XH58" s="4"/>
      <c r="XI58" s="4"/>
      <c r="XJ58" s="4"/>
      <c r="XK58" s="4"/>
      <c r="XL58" s="4"/>
      <c r="XM58" s="4"/>
      <c r="XN58" s="4"/>
      <c r="XO58" s="4"/>
      <c r="XP58" s="4"/>
      <c r="XQ58" s="4"/>
      <c r="XR58" s="4"/>
      <c r="XS58" s="4"/>
      <c r="XT58" s="4"/>
      <c r="XU58" s="4"/>
      <c r="XV58" s="4"/>
      <c r="XW58" s="4"/>
      <c r="XX58" s="4"/>
      <c r="XY58" s="4"/>
      <c r="XZ58" s="4"/>
      <c r="YA58" s="4"/>
      <c r="YB58" s="4"/>
      <c r="YC58" s="4"/>
      <c r="YD58" s="4"/>
      <c r="YE58" s="4"/>
      <c r="YF58" s="4"/>
      <c r="YG58" s="4"/>
      <c r="YH58" s="4"/>
      <c r="YI58" s="4"/>
      <c r="YJ58" s="4"/>
      <c r="YK58" s="4"/>
      <c r="YL58" s="4"/>
      <c r="YM58" s="4"/>
      <c r="YN58" s="4"/>
      <c r="YO58" s="4"/>
      <c r="YP58" s="4"/>
      <c r="YQ58" s="4"/>
      <c r="YR58" s="4"/>
      <c r="YS58" s="4"/>
      <c r="YT58" s="4"/>
      <c r="YU58" s="4"/>
      <c r="YV58" s="4"/>
      <c r="YW58" s="4"/>
      <c r="YX58" s="4"/>
      <c r="YY58" s="4"/>
      <c r="YZ58" s="4"/>
      <c r="ZA58" s="4"/>
      <c r="ZB58" s="4"/>
      <c r="ZC58" s="4"/>
      <c r="ZD58" s="4"/>
      <c r="ZE58" s="4"/>
      <c r="ZF58" s="4"/>
      <c r="ZG58" s="4"/>
      <c r="ZH58" s="4"/>
      <c r="ZI58" s="4"/>
      <c r="ZJ58" s="4"/>
      <c r="ZK58" s="4"/>
      <c r="ZL58" s="4"/>
      <c r="ZM58" s="4"/>
      <c r="ZN58" s="4"/>
      <c r="ZO58" s="4"/>
      <c r="ZP58" s="4"/>
      <c r="ZQ58" s="4"/>
      <c r="ZR58" s="4"/>
      <c r="ZS58" s="4"/>
      <c r="ZT58" s="4"/>
      <c r="ZU58" s="4"/>
      <c r="ZV58" s="4"/>
      <c r="ZW58" s="4"/>
      <c r="ZX58" s="4"/>
      <c r="ZY58" s="4"/>
      <c r="ZZ58" s="4"/>
      <c r="AAA58" s="4"/>
      <c r="AAB58" s="4"/>
      <c r="AAC58" s="4"/>
      <c r="AAD58" s="4"/>
      <c r="AAE58" s="4"/>
      <c r="AAF58" s="4"/>
      <c r="AAG58" s="4"/>
      <c r="AAH58" s="4"/>
      <c r="AAI58" s="4"/>
      <c r="AAJ58" s="4"/>
      <c r="AAK58" s="4"/>
      <c r="AAL58" s="4"/>
      <c r="AAM58" s="4"/>
      <c r="AAN58" s="4"/>
      <c r="AAO58" s="4"/>
      <c r="AAP58" s="4"/>
      <c r="AAQ58" s="4"/>
      <c r="AAR58" s="4"/>
      <c r="AAS58" s="4"/>
      <c r="AAT58" s="4"/>
      <c r="AAU58" s="4"/>
      <c r="AAV58" s="4"/>
      <c r="AAW58" s="4"/>
      <c r="AAX58" s="4"/>
      <c r="AAY58" s="4"/>
      <c r="AAZ58" s="4"/>
      <c r="ABA58" s="4"/>
      <c r="ABB58" s="4"/>
      <c r="ABC58" s="4"/>
      <c r="ABD58" s="4"/>
      <c r="ABE58" s="4"/>
      <c r="ABF58" s="4"/>
      <c r="ABG58" s="4"/>
      <c r="ABH58" s="4"/>
      <c r="ABI58" s="4"/>
      <c r="ABJ58" s="4"/>
      <c r="ABK58" s="4"/>
      <c r="ABL58" s="4"/>
      <c r="ABM58" s="4"/>
      <c r="ABN58" s="4"/>
      <c r="ABO58" s="4"/>
      <c r="ABP58" s="4"/>
      <c r="ABQ58" s="4"/>
      <c r="ABR58" s="4"/>
      <c r="ABS58" s="4"/>
      <c r="ABT58" s="4"/>
      <c r="ABU58" s="4"/>
      <c r="ABV58" s="4"/>
      <c r="ABW58" s="4"/>
      <c r="ABX58" s="4"/>
      <c r="ABY58" s="4"/>
      <c r="ABZ58" s="4"/>
      <c r="ACA58" s="4"/>
      <c r="ACB58" s="4"/>
      <c r="ACC58" s="4"/>
      <c r="ACD58" s="4"/>
      <c r="ACE58" s="4"/>
      <c r="ACF58" s="4"/>
      <c r="ACG58" s="4"/>
      <c r="ACH58" s="4"/>
      <c r="ACI58" s="4"/>
      <c r="ACJ58" s="4"/>
      <c r="ACK58" s="4"/>
      <c r="ACL58" s="4"/>
      <c r="ACM58" s="4"/>
      <c r="ACN58" s="4"/>
      <c r="ACO58" s="4"/>
      <c r="ACP58" s="4"/>
      <c r="ACQ58" s="4"/>
      <c r="ACR58" s="4"/>
      <c r="ACS58" s="4"/>
      <c r="ACT58" s="4"/>
      <c r="ACU58" s="4"/>
      <c r="ACV58" s="4"/>
      <c r="ACW58" s="4"/>
      <c r="ACX58" s="4"/>
      <c r="ACY58" s="4"/>
      <c r="ACZ58" s="4"/>
      <c r="ADA58" s="4"/>
      <c r="ADB58" s="4"/>
      <c r="ADC58" s="4"/>
      <c r="ADD58" s="4"/>
      <c r="ADE58" s="4"/>
      <c r="ADF58" s="4"/>
      <c r="ADG58" s="4"/>
      <c r="ADH58" s="4"/>
      <c r="ADI58" s="4"/>
      <c r="ADJ58" s="4"/>
      <c r="ADK58" s="4"/>
      <c r="ADL58" s="4"/>
      <c r="ADM58" s="4"/>
      <c r="ADN58" s="4"/>
      <c r="ADO58" s="4"/>
      <c r="ADP58" s="4"/>
      <c r="ADQ58" s="4"/>
      <c r="ADR58" s="4"/>
      <c r="ADS58" s="4"/>
      <c r="ADT58" s="4"/>
      <c r="ADU58" s="4"/>
      <c r="ADV58" s="4"/>
      <c r="ADW58" s="4"/>
      <c r="ADX58" s="4"/>
      <c r="ADY58" s="4"/>
      <c r="ADZ58" s="4"/>
      <c r="AEA58" s="4"/>
      <c r="AEB58" s="4"/>
      <c r="AEC58" s="4"/>
      <c r="AED58" s="4"/>
      <c r="AEE58" s="4"/>
      <c r="AEF58" s="4"/>
      <c r="AEG58" s="4"/>
      <c r="AEH58" s="4"/>
      <c r="AEI58" s="4"/>
      <c r="AEJ58" s="4"/>
      <c r="AEK58" s="4"/>
      <c r="AEL58" s="4"/>
      <c r="AEM58" s="4"/>
      <c r="AEN58" s="4"/>
      <c r="AEO58" s="4"/>
      <c r="AEP58" s="4"/>
      <c r="AEQ58" s="4"/>
      <c r="AER58" s="4"/>
      <c r="AES58" s="4"/>
      <c r="AET58" s="4"/>
      <c r="AEU58" s="4"/>
      <c r="AEV58" s="4"/>
      <c r="AEW58" s="4"/>
      <c r="AEX58" s="4"/>
      <c r="AEY58" s="4"/>
      <c r="AEZ58" s="4"/>
      <c r="AFA58" s="4"/>
      <c r="AFB58" s="4"/>
      <c r="AFC58" s="4"/>
      <c r="AFD58" s="4"/>
      <c r="AFE58" s="4"/>
      <c r="AFF58" s="4"/>
      <c r="AFG58" s="4"/>
      <c r="AFH58" s="4"/>
      <c r="AFI58" s="4"/>
      <c r="AFJ58" s="4"/>
      <c r="AFK58" s="4"/>
      <c r="AFL58" s="4"/>
      <c r="AFM58" s="4"/>
      <c r="AFN58" s="4"/>
      <c r="AFO58" s="4"/>
      <c r="AFP58" s="4"/>
      <c r="AFQ58" s="4"/>
      <c r="AFR58" s="4"/>
      <c r="AFS58" s="4"/>
      <c r="AFT58" s="4"/>
      <c r="AFU58" s="4"/>
      <c r="AFV58" s="4"/>
      <c r="AFW58" s="4"/>
      <c r="AFX58" s="4"/>
      <c r="AFY58" s="4"/>
      <c r="AFZ58" s="4"/>
      <c r="AGA58" s="4"/>
      <c r="AGB58" s="4"/>
      <c r="AGC58" s="4"/>
      <c r="AGD58" s="4"/>
      <c r="AGE58" s="4"/>
      <c r="AGF58" s="4"/>
      <c r="AGG58" s="4"/>
      <c r="AGH58" s="4"/>
      <c r="AGI58" s="4"/>
      <c r="AGJ58" s="4"/>
      <c r="AGK58" s="4"/>
      <c r="AGL58" s="4"/>
      <c r="AGM58" s="4"/>
      <c r="AGN58" s="4"/>
      <c r="AGO58" s="4"/>
      <c r="AGP58" s="4"/>
      <c r="AGQ58" s="4"/>
      <c r="AGR58" s="4"/>
      <c r="AGS58" s="4"/>
      <c r="AGT58" s="4"/>
      <c r="AGU58" s="4"/>
      <c r="AGV58" s="4"/>
      <c r="AGW58" s="4"/>
      <c r="AGX58" s="4"/>
      <c r="AGY58" s="4"/>
      <c r="AGZ58" s="4"/>
      <c r="AHA58" s="4"/>
      <c r="AHB58" s="4"/>
      <c r="AHC58" s="4"/>
      <c r="AHD58" s="4"/>
      <c r="AHE58" s="4"/>
      <c r="AHF58" s="4"/>
      <c r="AHG58" s="4"/>
      <c r="AHH58" s="4"/>
      <c r="AHI58" s="4"/>
      <c r="AHJ58" s="4"/>
      <c r="AHK58" s="4"/>
      <c r="AHL58" s="4"/>
      <c r="AHM58" s="4"/>
      <c r="AHN58" s="4"/>
      <c r="AHO58" s="4"/>
      <c r="AHP58" s="4"/>
      <c r="AHQ58" s="4"/>
      <c r="AHR58" s="4"/>
      <c r="AHS58" s="4"/>
      <c r="AHT58" s="4"/>
      <c r="AHU58" s="4"/>
      <c r="AHV58" s="4"/>
      <c r="AHW58" s="4"/>
      <c r="AHX58" s="4"/>
      <c r="AHY58" s="4"/>
      <c r="AHZ58" s="4"/>
      <c r="AIA58" s="4"/>
      <c r="AIB58" s="4"/>
      <c r="AIC58" s="4"/>
      <c r="AID58" s="4"/>
      <c r="AIE58" s="4"/>
      <c r="AIF58" s="4"/>
      <c r="AIG58" s="4"/>
      <c r="AIH58" s="4"/>
      <c r="AII58" s="4"/>
      <c r="AIJ58" s="4"/>
      <c r="AIK58" s="4"/>
      <c r="AIL58" s="4"/>
      <c r="AIM58" s="4"/>
      <c r="AIN58" s="4"/>
      <c r="AIO58" s="4"/>
      <c r="AIP58" s="4"/>
      <c r="AIQ58" s="4"/>
      <c r="AIR58" s="4"/>
      <c r="AIS58" s="4"/>
      <c r="AIT58" s="4"/>
      <c r="AIU58" s="4"/>
      <c r="AIV58" s="4"/>
      <c r="AIW58" s="4"/>
      <c r="AIX58" s="4"/>
      <c r="AIY58" s="4"/>
      <c r="AIZ58" s="4"/>
      <c r="AJA58" s="4"/>
      <c r="AJB58" s="4"/>
      <c r="AJC58" s="4"/>
      <c r="AJD58" s="4"/>
      <c r="AJE58" s="4"/>
      <c r="AJF58" s="4"/>
      <c r="AJG58" s="4"/>
      <c r="AJH58" s="4"/>
      <c r="AJI58" s="4"/>
      <c r="AJJ58" s="4"/>
      <c r="AJK58" s="4"/>
      <c r="AJL58" s="4"/>
      <c r="AJM58" s="4"/>
      <c r="AJN58" s="4"/>
      <c r="AJO58" s="4"/>
      <c r="AJP58" s="4"/>
      <c r="AJQ58" s="4"/>
      <c r="AJR58" s="4"/>
      <c r="AJS58" s="4"/>
      <c r="AJT58" s="4"/>
      <c r="AJU58" s="4"/>
      <c r="AJV58" s="4"/>
      <c r="AJW58" s="4"/>
      <c r="AJX58" s="4"/>
      <c r="AJY58" s="4"/>
      <c r="AJZ58" s="4"/>
      <c r="AKA58" s="4"/>
      <c r="AKB58" s="4"/>
      <c r="AKC58" s="4"/>
      <c r="AKD58" s="4"/>
      <c r="AKE58" s="4"/>
      <c r="AKF58" s="4"/>
      <c r="AKG58" s="4"/>
      <c r="AKH58" s="4"/>
      <c r="AKI58" s="4"/>
      <c r="AKJ58" s="4"/>
      <c r="AKK58" s="4"/>
      <c r="AKL58" s="4"/>
      <c r="AKM58" s="4"/>
      <c r="AKN58" s="4"/>
      <c r="AKO58" s="4"/>
      <c r="AKP58" s="4"/>
      <c r="AKQ58" s="4"/>
      <c r="AKR58" s="4"/>
      <c r="AKS58" s="4"/>
      <c r="AKT58" s="4"/>
      <c r="AKU58" s="4"/>
      <c r="AKV58" s="4"/>
      <c r="AKW58" s="4"/>
      <c r="AKX58" s="4"/>
      <c r="AKY58" s="4"/>
      <c r="AKZ58" s="4"/>
      <c r="ALA58" s="4"/>
      <c r="ALB58" s="4"/>
      <c r="ALC58" s="4"/>
      <c r="ALD58" s="4"/>
      <c r="ALE58" s="4"/>
      <c r="ALF58" s="4"/>
      <c r="ALG58" s="4"/>
      <c r="ALH58" s="4"/>
      <c r="ALI58" s="4"/>
      <c r="ALJ58" s="4"/>
      <c r="ALK58" s="4"/>
      <c r="ALL58" s="4"/>
      <c r="ALM58" s="4"/>
      <c r="ALN58" s="4"/>
      <c r="ALO58" s="4"/>
      <c r="ALP58" s="4"/>
      <c r="ALQ58" s="4"/>
      <c r="ALR58" s="4"/>
      <c r="ALS58" s="4"/>
      <c r="ALT58" s="4"/>
      <c r="ALU58" s="4"/>
      <c r="ALV58" s="4"/>
      <c r="ALW58" s="4"/>
      <c r="ALX58" s="4"/>
      <c r="ALY58" s="4"/>
      <c r="ALZ58" s="4"/>
      <c r="AMA58" s="4"/>
      <c r="AMB58" s="4"/>
      <c r="AMC58" s="4"/>
      <c r="AMD58" s="4"/>
      <c r="AME58" s="4"/>
      <c r="AMF58" s="4"/>
    </row>
  </sheetData>
  <mergeCells count="27">
    <mergeCell ref="A58:B58"/>
    <mergeCell ref="C57:H57"/>
    <mergeCell ref="A55:B55"/>
    <mergeCell ref="A45:G45"/>
    <mergeCell ref="A56:B56"/>
    <mergeCell ref="A57:B57"/>
    <mergeCell ref="C52:H52"/>
    <mergeCell ref="C53:H53"/>
    <mergeCell ref="C54:H54"/>
    <mergeCell ref="C55:H55"/>
    <mergeCell ref="C56:H56"/>
    <mergeCell ref="C58:H58"/>
    <mergeCell ref="C46:H46"/>
    <mergeCell ref="A46:B46"/>
    <mergeCell ref="A47:B47"/>
    <mergeCell ref="A48:B48"/>
    <mergeCell ref="A49:B49"/>
    <mergeCell ref="C47:H47"/>
    <mergeCell ref="C48:H48"/>
    <mergeCell ref="C49:H49"/>
    <mergeCell ref="A50:B50"/>
    <mergeCell ref="A51:B51"/>
    <mergeCell ref="A52:B52"/>
    <mergeCell ref="A53:B53"/>
    <mergeCell ref="A54:B54"/>
    <mergeCell ref="C50:H50"/>
    <mergeCell ref="C51:H51"/>
  </mergeCells>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58FA8-0F99-4BA9-AE7B-080FDE61A8B1}">
  <sheetPr codeName="Planilha4">
    <tabColor theme="3" tint="0.59999389629810485"/>
  </sheetPr>
  <dimension ref="A1:AMN109"/>
  <sheetViews>
    <sheetView showGridLines="0" tabSelected="1" zoomScale="80" zoomScaleNormal="80" workbookViewId="0">
      <pane xSplit="1" ySplit="1" topLeftCell="B98" activePane="bottomRight" state="frozen"/>
      <selection pane="topRight" activeCell="B1" sqref="B1"/>
      <selection pane="bottomLeft" activeCell="A2" sqref="A2"/>
      <selection pane="bottomRight" activeCell="B69" sqref="B69"/>
    </sheetView>
  </sheetViews>
  <sheetFormatPr defaultColWidth="9.109375" defaultRowHeight="15.6" x14ac:dyDescent="0.25"/>
  <cols>
    <col min="1" max="1" width="11.44140625" style="12" bestFit="1" customWidth="1"/>
    <col min="2" max="2" width="42.88671875" style="12" customWidth="1"/>
    <col min="3" max="6" width="8.5546875" style="12" customWidth="1"/>
    <col min="7" max="7" width="35.6640625" style="12" customWidth="1"/>
    <col min="8" max="8" width="5.6640625" style="12" customWidth="1"/>
    <col min="9" max="9" width="42.6640625" style="4" customWidth="1"/>
    <col min="10" max="10" width="20.5546875" style="4" customWidth="1"/>
    <col min="11" max="11" width="14.44140625" style="4" bestFit="1" customWidth="1"/>
    <col min="12" max="14" width="11.88671875" style="4" customWidth="1"/>
    <col min="15" max="15" width="16" style="4" bestFit="1" customWidth="1"/>
    <col min="16" max="1028" width="17.6640625" style="4" customWidth="1"/>
    <col min="1029" max="16384" width="9.109375" style="9"/>
  </cols>
  <sheetData>
    <row r="1" spans="1:15" s="39" customFormat="1" ht="30" customHeight="1" x14ac:dyDescent="0.25">
      <c r="A1" s="35" t="s">
        <v>524</v>
      </c>
      <c r="B1" s="35" t="s">
        <v>525</v>
      </c>
      <c r="C1" s="35" t="s">
        <v>564</v>
      </c>
      <c r="D1" s="35" t="s">
        <v>560</v>
      </c>
      <c r="E1" s="35" t="s">
        <v>556</v>
      </c>
      <c r="F1" s="35" t="s">
        <v>528</v>
      </c>
      <c r="G1" s="35" t="s">
        <v>539</v>
      </c>
      <c r="H1" s="35" t="s">
        <v>523</v>
      </c>
      <c r="I1" s="35" t="s">
        <v>0</v>
      </c>
      <c r="J1" s="35" t="s">
        <v>667</v>
      </c>
      <c r="K1" s="35" t="s">
        <v>668</v>
      </c>
      <c r="L1" s="36" t="s">
        <v>6</v>
      </c>
      <c r="M1" s="37" t="s">
        <v>7</v>
      </c>
      <c r="N1" s="38" t="s">
        <v>8</v>
      </c>
      <c r="O1" s="76" t="s">
        <v>1039</v>
      </c>
    </row>
    <row r="2" spans="1:15" ht="30" x14ac:dyDescent="0.25">
      <c r="A2" s="8">
        <v>1</v>
      </c>
      <c r="B2" s="8" t="s">
        <v>11</v>
      </c>
      <c r="C2" s="8" t="s">
        <v>561</v>
      </c>
      <c r="D2" s="8">
        <v>2</v>
      </c>
      <c r="E2" s="8" t="s">
        <v>572</v>
      </c>
      <c r="F2" s="84" t="s">
        <v>567</v>
      </c>
      <c r="G2" s="8" t="s">
        <v>526</v>
      </c>
      <c r="H2" s="8">
        <v>1</v>
      </c>
      <c r="I2" s="8" t="s">
        <v>576</v>
      </c>
      <c r="J2" s="8" t="s">
        <v>617</v>
      </c>
      <c r="K2" s="8" t="s">
        <v>5</v>
      </c>
    </row>
    <row r="3" spans="1:15" ht="30" x14ac:dyDescent="0.25">
      <c r="A3" s="156">
        <v>2</v>
      </c>
      <c r="B3" s="156" t="s">
        <v>12</v>
      </c>
      <c r="C3" s="156" t="s">
        <v>561</v>
      </c>
      <c r="D3" s="156">
        <v>8</v>
      </c>
      <c r="E3" s="156" t="s">
        <v>572</v>
      </c>
      <c r="F3" s="156" t="s">
        <v>567</v>
      </c>
      <c r="G3" s="156" t="s">
        <v>555</v>
      </c>
      <c r="H3" s="8">
        <v>1</v>
      </c>
      <c r="I3" s="8" t="s">
        <v>577</v>
      </c>
      <c r="J3" s="8" t="s">
        <v>617</v>
      </c>
      <c r="K3" s="8" t="s">
        <v>5</v>
      </c>
    </row>
    <row r="4" spans="1:15" ht="45" x14ac:dyDescent="0.25">
      <c r="A4" s="156"/>
      <c r="B4" s="156"/>
      <c r="C4" s="156"/>
      <c r="D4" s="156"/>
      <c r="E4" s="156"/>
      <c r="F4" s="156"/>
      <c r="G4" s="156"/>
      <c r="H4" s="8">
        <v>2</v>
      </c>
      <c r="I4" s="8" t="s">
        <v>618</v>
      </c>
      <c r="J4" s="8" t="s">
        <v>617</v>
      </c>
      <c r="K4" s="8" t="s">
        <v>5</v>
      </c>
    </row>
    <row r="5" spans="1:15" ht="45" x14ac:dyDescent="0.25">
      <c r="A5" s="156"/>
      <c r="B5" s="156"/>
      <c r="C5" s="156"/>
      <c r="D5" s="156"/>
      <c r="E5" s="156"/>
      <c r="F5" s="156"/>
      <c r="G5" s="156"/>
      <c r="H5" s="8">
        <v>3</v>
      </c>
      <c r="I5" s="8" t="s">
        <v>578</v>
      </c>
      <c r="J5" s="8" t="s">
        <v>232</v>
      </c>
      <c r="K5" s="8" t="s">
        <v>5</v>
      </c>
    </row>
    <row r="6" spans="1:15" ht="45" x14ac:dyDescent="0.25">
      <c r="A6" s="156"/>
      <c r="B6" s="156"/>
      <c r="C6" s="156"/>
      <c r="D6" s="156"/>
      <c r="E6" s="156"/>
      <c r="F6" s="156"/>
      <c r="G6" s="156"/>
      <c r="H6" s="8">
        <v>4</v>
      </c>
      <c r="I6" s="8" t="s">
        <v>579</v>
      </c>
      <c r="J6" s="8" t="s">
        <v>232</v>
      </c>
      <c r="K6" s="8" t="s">
        <v>5</v>
      </c>
    </row>
    <row r="7" spans="1:15" ht="45" x14ac:dyDescent="0.25">
      <c r="A7" s="156"/>
      <c r="B7" s="156"/>
      <c r="C7" s="156"/>
      <c r="D7" s="156"/>
      <c r="E7" s="156"/>
      <c r="F7" s="156"/>
      <c r="G7" s="156"/>
      <c r="H7" s="8">
        <v>5</v>
      </c>
      <c r="I7" s="8" t="s">
        <v>581</v>
      </c>
      <c r="J7" s="8" t="s">
        <v>232</v>
      </c>
      <c r="K7" s="8" t="s">
        <v>5</v>
      </c>
    </row>
    <row r="8" spans="1:15" ht="45" x14ac:dyDescent="0.25">
      <c r="A8" s="156"/>
      <c r="B8" s="156"/>
      <c r="C8" s="156"/>
      <c r="D8" s="156"/>
      <c r="E8" s="156"/>
      <c r="F8" s="156"/>
      <c r="G8" s="156"/>
      <c r="H8" s="8">
        <v>6</v>
      </c>
      <c r="I8" s="8" t="s">
        <v>580</v>
      </c>
      <c r="J8" s="8" t="s">
        <v>232</v>
      </c>
      <c r="K8" s="8" t="s">
        <v>5</v>
      </c>
    </row>
    <row r="9" spans="1:15" ht="45" x14ac:dyDescent="0.25">
      <c r="A9" s="8">
        <v>3</v>
      </c>
      <c r="B9" s="8" t="s">
        <v>13</v>
      </c>
      <c r="C9" s="8" t="s">
        <v>561</v>
      </c>
      <c r="D9" s="8">
        <v>1</v>
      </c>
      <c r="E9" s="8" t="s">
        <v>572</v>
      </c>
      <c r="F9" s="8" t="s">
        <v>568</v>
      </c>
      <c r="G9" s="8" t="s">
        <v>533</v>
      </c>
      <c r="H9" s="8">
        <v>1</v>
      </c>
      <c r="I9" s="8" t="s">
        <v>635</v>
      </c>
      <c r="J9" s="8" t="s">
        <v>617</v>
      </c>
      <c r="K9" s="8" t="s">
        <v>5</v>
      </c>
    </row>
    <row r="10" spans="1:15" ht="90" x14ac:dyDescent="0.25">
      <c r="A10" s="8">
        <v>4</v>
      </c>
      <c r="B10" s="8" t="s">
        <v>14</v>
      </c>
      <c r="C10" s="8" t="s">
        <v>565</v>
      </c>
      <c r="D10" s="8">
        <v>10</v>
      </c>
      <c r="E10" s="8" t="s">
        <v>572</v>
      </c>
      <c r="F10" s="8" t="s">
        <v>527</v>
      </c>
      <c r="G10" s="8" t="s">
        <v>540</v>
      </c>
      <c r="H10" s="8">
        <v>1</v>
      </c>
      <c r="I10" s="8" t="s">
        <v>886</v>
      </c>
      <c r="J10" s="8" t="s">
        <v>617</v>
      </c>
      <c r="K10" s="8" t="s">
        <v>5</v>
      </c>
    </row>
    <row r="11" spans="1:15" ht="105" x14ac:dyDescent="0.25">
      <c r="A11" s="8">
        <v>5</v>
      </c>
      <c r="B11" s="8" t="s">
        <v>15</v>
      </c>
      <c r="C11" s="8" t="s">
        <v>565</v>
      </c>
      <c r="D11" s="8">
        <v>10</v>
      </c>
      <c r="E11" s="8" t="s">
        <v>572</v>
      </c>
      <c r="F11" s="8" t="s">
        <v>527</v>
      </c>
      <c r="G11" s="8" t="s">
        <v>540</v>
      </c>
      <c r="H11" s="8">
        <v>1</v>
      </c>
      <c r="I11" s="8" t="s">
        <v>1000</v>
      </c>
      <c r="J11" s="8" t="s">
        <v>617</v>
      </c>
      <c r="K11" s="8" t="s">
        <v>5</v>
      </c>
    </row>
    <row r="12" spans="1:15" ht="45" x14ac:dyDescent="0.25">
      <c r="A12" s="8">
        <v>6</v>
      </c>
      <c r="B12" s="8" t="s">
        <v>16</v>
      </c>
      <c r="C12" s="8" t="s">
        <v>561</v>
      </c>
      <c r="D12" s="8">
        <v>100</v>
      </c>
      <c r="E12" s="8" t="s">
        <v>573</v>
      </c>
      <c r="F12" s="8" t="s">
        <v>571</v>
      </c>
      <c r="G12" s="8" t="s">
        <v>542</v>
      </c>
      <c r="H12" s="8">
        <v>1</v>
      </c>
      <c r="I12" s="8" t="s">
        <v>888</v>
      </c>
      <c r="J12" s="8" t="s">
        <v>617</v>
      </c>
      <c r="K12" s="8" t="s">
        <v>5</v>
      </c>
    </row>
    <row r="13" spans="1:15" ht="30" x14ac:dyDescent="0.25">
      <c r="A13" s="156">
        <v>7</v>
      </c>
      <c r="B13" s="156" t="s">
        <v>17</v>
      </c>
      <c r="C13" s="156" t="s">
        <v>561</v>
      </c>
      <c r="D13" s="156">
        <v>8</v>
      </c>
      <c r="E13" s="156" t="s">
        <v>572</v>
      </c>
      <c r="F13" s="156" t="s">
        <v>567</v>
      </c>
      <c r="G13" s="156" t="s">
        <v>555</v>
      </c>
      <c r="H13" s="8">
        <v>1</v>
      </c>
      <c r="I13" s="8" t="s">
        <v>577</v>
      </c>
      <c r="J13" s="8" t="s">
        <v>617</v>
      </c>
      <c r="K13" s="8" t="s">
        <v>5</v>
      </c>
    </row>
    <row r="14" spans="1:15" ht="45" x14ac:dyDescent="0.25">
      <c r="A14" s="156"/>
      <c r="B14" s="156"/>
      <c r="C14" s="156"/>
      <c r="D14" s="156"/>
      <c r="E14" s="156"/>
      <c r="F14" s="156"/>
      <c r="G14" s="156"/>
      <c r="H14" s="8">
        <v>2</v>
      </c>
      <c r="I14" s="8" t="s">
        <v>582</v>
      </c>
      <c r="J14" s="8" t="s">
        <v>232</v>
      </c>
      <c r="K14" s="8" t="s">
        <v>5</v>
      </c>
    </row>
    <row r="15" spans="1:15" ht="30" x14ac:dyDescent="0.25">
      <c r="A15" s="156">
        <v>8</v>
      </c>
      <c r="B15" s="156" t="s">
        <v>18</v>
      </c>
      <c r="C15" s="156" t="s">
        <v>561</v>
      </c>
      <c r="D15" s="156">
        <v>7</v>
      </c>
      <c r="E15" s="156" t="s">
        <v>572</v>
      </c>
      <c r="F15" s="156" t="s">
        <v>567</v>
      </c>
      <c r="G15" s="156" t="s">
        <v>555</v>
      </c>
      <c r="H15" s="8">
        <v>1</v>
      </c>
      <c r="I15" s="8" t="s">
        <v>583</v>
      </c>
      <c r="J15" s="8" t="s">
        <v>617</v>
      </c>
      <c r="K15" s="8" t="s">
        <v>5</v>
      </c>
    </row>
    <row r="16" spans="1:15" ht="30" x14ac:dyDescent="0.25">
      <c r="A16" s="156"/>
      <c r="B16" s="156"/>
      <c r="C16" s="156"/>
      <c r="D16" s="156"/>
      <c r="E16" s="156"/>
      <c r="F16" s="156"/>
      <c r="G16" s="156"/>
      <c r="H16" s="8">
        <v>2</v>
      </c>
      <c r="I16" s="8" t="s">
        <v>584</v>
      </c>
      <c r="J16" s="8" t="s">
        <v>232</v>
      </c>
      <c r="K16" s="8" t="s">
        <v>5</v>
      </c>
    </row>
    <row r="17" spans="1:11" ht="45" x14ac:dyDescent="0.25">
      <c r="A17" s="156"/>
      <c r="B17" s="156"/>
      <c r="C17" s="156"/>
      <c r="D17" s="156"/>
      <c r="E17" s="156"/>
      <c r="F17" s="156"/>
      <c r="G17" s="156"/>
      <c r="H17" s="8">
        <v>3</v>
      </c>
      <c r="I17" s="8" t="s">
        <v>585</v>
      </c>
      <c r="J17" s="8" t="s">
        <v>232</v>
      </c>
      <c r="K17" s="8" t="s">
        <v>5</v>
      </c>
    </row>
    <row r="18" spans="1:11" ht="30" x14ac:dyDescent="0.25">
      <c r="A18" s="156">
        <v>9</v>
      </c>
      <c r="B18" s="156" t="s">
        <v>19</v>
      </c>
      <c r="C18" s="156" t="s">
        <v>561</v>
      </c>
      <c r="D18" s="156">
        <v>2</v>
      </c>
      <c r="E18" s="156" t="s">
        <v>572</v>
      </c>
      <c r="F18" s="156" t="s">
        <v>567</v>
      </c>
      <c r="G18" s="156" t="s">
        <v>555</v>
      </c>
      <c r="H18" s="8">
        <v>1</v>
      </c>
      <c r="I18" s="8" t="s">
        <v>586</v>
      </c>
      <c r="J18" s="8" t="s">
        <v>617</v>
      </c>
      <c r="K18" s="8" t="s">
        <v>5</v>
      </c>
    </row>
    <row r="19" spans="1:11" ht="60" x14ac:dyDescent="0.25">
      <c r="A19" s="156"/>
      <c r="B19" s="156"/>
      <c r="C19" s="156"/>
      <c r="D19" s="156"/>
      <c r="E19" s="156"/>
      <c r="F19" s="156"/>
      <c r="G19" s="156"/>
      <c r="H19" s="8">
        <v>2</v>
      </c>
      <c r="I19" s="8" t="s">
        <v>587</v>
      </c>
      <c r="J19" s="8" t="s">
        <v>232</v>
      </c>
      <c r="K19" s="8" t="s">
        <v>5</v>
      </c>
    </row>
    <row r="20" spans="1:11" ht="30" x14ac:dyDescent="0.25">
      <c r="A20" s="8">
        <v>10</v>
      </c>
      <c r="B20" s="8" t="s">
        <v>20</v>
      </c>
      <c r="C20" s="8" t="s">
        <v>561</v>
      </c>
      <c r="D20" s="8">
        <v>100</v>
      </c>
      <c r="E20" s="8" t="s">
        <v>573</v>
      </c>
      <c r="F20" s="8" t="s">
        <v>571</v>
      </c>
      <c r="G20" s="8" t="s">
        <v>541</v>
      </c>
      <c r="H20" s="8">
        <v>1</v>
      </c>
      <c r="I20" s="8" t="s">
        <v>619</v>
      </c>
      <c r="J20" s="8" t="s">
        <v>617</v>
      </c>
      <c r="K20" s="8" t="s">
        <v>5</v>
      </c>
    </row>
    <row r="21" spans="1:11" ht="45" x14ac:dyDescent="0.25">
      <c r="A21" s="8">
        <v>11</v>
      </c>
      <c r="B21" s="8" t="s">
        <v>21</v>
      </c>
      <c r="C21" s="8" t="s">
        <v>523</v>
      </c>
      <c r="D21" s="8">
        <v>100</v>
      </c>
      <c r="E21" s="8" t="s">
        <v>573</v>
      </c>
      <c r="F21" s="8" t="s">
        <v>571</v>
      </c>
      <c r="G21" s="8" t="s">
        <v>541</v>
      </c>
      <c r="H21" s="8">
        <v>1</v>
      </c>
      <c r="I21" s="8" t="s">
        <v>620</v>
      </c>
      <c r="J21" s="8" t="s">
        <v>617</v>
      </c>
      <c r="K21" s="8" t="s">
        <v>5</v>
      </c>
    </row>
    <row r="22" spans="1:11" ht="45" x14ac:dyDescent="0.25">
      <c r="A22" s="8">
        <v>12</v>
      </c>
      <c r="B22" s="8" t="s">
        <v>22</v>
      </c>
      <c r="C22" s="8" t="s">
        <v>523</v>
      </c>
      <c r="D22" s="8">
        <v>20</v>
      </c>
      <c r="E22" s="8" t="s">
        <v>573</v>
      </c>
      <c r="F22" s="8" t="s">
        <v>571</v>
      </c>
      <c r="G22" s="8" t="s">
        <v>541</v>
      </c>
      <c r="H22" s="8">
        <v>1</v>
      </c>
      <c r="I22" s="8" t="s">
        <v>621</v>
      </c>
      <c r="J22" s="8" t="s">
        <v>617</v>
      </c>
      <c r="K22" s="8" t="s">
        <v>5</v>
      </c>
    </row>
    <row r="23" spans="1:11" ht="45" x14ac:dyDescent="0.25">
      <c r="A23" s="8">
        <v>13</v>
      </c>
      <c r="B23" s="8" t="s">
        <v>23</v>
      </c>
      <c r="C23" s="8" t="s">
        <v>523</v>
      </c>
      <c r="D23" s="8">
        <v>50</v>
      </c>
      <c r="E23" s="8" t="s">
        <v>573</v>
      </c>
      <c r="F23" s="8" t="s">
        <v>571</v>
      </c>
      <c r="G23" s="8" t="s">
        <v>541</v>
      </c>
      <c r="H23" s="8">
        <v>1</v>
      </c>
      <c r="I23" s="8" t="s">
        <v>622</v>
      </c>
      <c r="J23" s="8" t="s">
        <v>617</v>
      </c>
      <c r="K23" s="8" t="s">
        <v>5</v>
      </c>
    </row>
    <row r="24" spans="1:11" ht="60" x14ac:dyDescent="0.25">
      <c r="A24" s="156">
        <v>14</v>
      </c>
      <c r="B24" s="156" t="s">
        <v>24</v>
      </c>
      <c r="C24" s="156" t="s">
        <v>523</v>
      </c>
      <c r="D24" s="156">
        <v>2</v>
      </c>
      <c r="E24" s="156" t="s">
        <v>572</v>
      </c>
      <c r="F24" s="156" t="s">
        <v>567</v>
      </c>
      <c r="G24" s="156" t="s">
        <v>555</v>
      </c>
      <c r="H24" s="8">
        <v>1</v>
      </c>
      <c r="I24" s="8" t="s">
        <v>589</v>
      </c>
      <c r="J24" s="8" t="s">
        <v>617</v>
      </c>
      <c r="K24" s="8" t="s">
        <v>5</v>
      </c>
    </row>
    <row r="25" spans="1:11" ht="60" x14ac:dyDescent="0.25">
      <c r="A25" s="156"/>
      <c r="B25" s="156"/>
      <c r="C25" s="156"/>
      <c r="D25" s="156"/>
      <c r="E25" s="156"/>
      <c r="F25" s="156"/>
      <c r="G25" s="156"/>
      <c r="H25" s="8">
        <v>2</v>
      </c>
      <c r="I25" s="8" t="s">
        <v>1175</v>
      </c>
      <c r="J25" s="8" t="s">
        <v>617</v>
      </c>
      <c r="K25" s="8" t="s">
        <v>5</v>
      </c>
    </row>
    <row r="26" spans="1:11" ht="45" x14ac:dyDescent="0.25">
      <c r="A26" s="156"/>
      <c r="B26" s="156"/>
      <c r="C26" s="156"/>
      <c r="D26" s="156"/>
      <c r="E26" s="156"/>
      <c r="F26" s="156"/>
      <c r="G26" s="156"/>
      <c r="H26" s="8">
        <v>3</v>
      </c>
      <c r="I26" s="8" t="s">
        <v>588</v>
      </c>
      <c r="J26" s="8" t="s">
        <v>232</v>
      </c>
      <c r="K26" s="8" t="s">
        <v>5</v>
      </c>
    </row>
    <row r="27" spans="1:11" ht="45" x14ac:dyDescent="0.25">
      <c r="A27" s="156">
        <v>15</v>
      </c>
      <c r="B27" s="156" t="s">
        <v>25</v>
      </c>
      <c r="C27" s="156" t="s">
        <v>523</v>
      </c>
      <c r="D27" s="156">
        <v>9</v>
      </c>
      <c r="E27" s="156" t="s">
        <v>573</v>
      </c>
      <c r="F27" s="156" t="s">
        <v>567</v>
      </c>
      <c r="G27" s="156" t="s">
        <v>555</v>
      </c>
      <c r="H27" s="8">
        <v>1</v>
      </c>
      <c r="I27" s="8" t="s">
        <v>590</v>
      </c>
      <c r="J27" s="8" t="s">
        <v>617</v>
      </c>
      <c r="K27" s="8" t="s">
        <v>5</v>
      </c>
    </row>
    <row r="28" spans="1:11" ht="45" x14ac:dyDescent="0.25">
      <c r="A28" s="156"/>
      <c r="B28" s="156"/>
      <c r="C28" s="156"/>
      <c r="D28" s="156"/>
      <c r="E28" s="156"/>
      <c r="F28" s="156"/>
      <c r="G28" s="156"/>
      <c r="H28" s="8">
        <v>2</v>
      </c>
      <c r="I28" s="8" t="s">
        <v>605</v>
      </c>
      <c r="J28" s="8" t="s">
        <v>617</v>
      </c>
      <c r="K28" s="8" t="s">
        <v>5</v>
      </c>
    </row>
    <row r="29" spans="1:11" ht="60" x14ac:dyDescent="0.25">
      <c r="A29" s="156">
        <v>16</v>
      </c>
      <c r="B29" s="156" t="s">
        <v>26</v>
      </c>
      <c r="C29" s="156" t="s">
        <v>523</v>
      </c>
      <c r="D29" s="156">
        <v>9</v>
      </c>
      <c r="E29" s="156" t="s">
        <v>573</v>
      </c>
      <c r="F29" s="156" t="s">
        <v>567</v>
      </c>
      <c r="G29" s="156" t="s">
        <v>555</v>
      </c>
      <c r="H29" s="8">
        <v>1</v>
      </c>
      <c r="I29" s="8" t="s">
        <v>592</v>
      </c>
      <c r="J29" s="8" t="s">
        <v>617</v>
      </c>
      <c r="K29" s="8" t="s">
        <v>5</v>
      </c>
    </row>
    <row r="30" spans="1:11" ht="45" x14ac:dyDescent="0.25">
      <c r="A30" s="156"/>
      <c r="B30" s="156"/>
      <c r="C30" s="156"/>
      <c r="D30" s="156"/>
      <c r="E30" s="156"/>
      <c r="F30" s="156"/>
      <c r="G30" s="156"/>
      <c r="H30" s="8">
        <v>2</v>
      </c>
      <c r="I30" s="8" t="s">
        <v>591</v>
      </c>
      <c r="J30" s="8" t="s">
        <v>617</v>
      </c>
      <c r="K30" s="8" t="s">
        <v>5</v>
      </c>
    </row>
    <row r="31" spans="1:11" ht="45" x14ac:dyDescent="0.25">
      <c r="A31" s="156">
        <v>17</v>
      </c>
      <c r="B31" s="156" t="s">
        <v>27</v>
      </c>
      <c r="C31" s="156" t="s">
        <v>523</v>
      </c>
      <c r="D31" s="156">
        <v>100</v>
      </c>
      <c r="E31" s="156" t="s">
        <v>573</v>
      </c>
      <c r="F31" s="156" t="s">
        <v>547</v>
      </c>
      <c r="G31" s="156" t="s">
        <v>606</v>
      </c>
      <c r="H31" s="8">
        <v>1</v>
      </c>
      <c r="I31" s="8" t="s">
        <v>889</v>
      </c>
      <c r="J31" s="8" t="s">
        <v>617</v>
      </c>
      <c r="K31" s="8" t="s">
        <v>5</v>
      </c>
    </row>
    <row r="32" spans="1:11" ht="165" x14ac:dyDescent="0.25">
      <c r="A32" s="156"/>
      <c r="B32" s="156"/>
      <c r="C32" s="156"/>
      <c r="D32" s="156"/>
      <c r="E32" s="156"/>
      <c r="F32" s="156"/>
      <c r="G32" s="156"/>
      <c r="H32" s="8">
        <v>2</v>
      </c>
      <c r="I32" s="8" t="s">
        <v>593</v>
      </c>
      <c r="J32" s="8" t="s">
        <v>617</v>
      </c>
      <c r="K32" s="8" t="s">
        <v>5</v>
      </c>
    </row>
    <row r="33" spans="1:11" ht="30" x14ac:dyDescent="0.25">
      <c r="A33" s="156">
        <v>18</v>
      </c>
      <c r="B33" s="156" t="s">
        <v>28</v>
      </c>
      <c r="C33" s="156" t="s">
        <v>523</v>
      </c>
      <c r="D33" s="156">
        <v>5</v>
      </c>
      <c r="E33" s="156" t="s">
        <v>573</v>
      </c>
      <c r="F33" s="156" t="s">
        <v>571</v>
      </c>
      <c r="G33" s="156" t="s">
        <v>543</v>
      </c>
      <c r="H33" s="8">
        <v>1</v>
      </c>
      <c r="I33" s="8" t="s">
        <v>890</v>
      </c>
      <c r="J33" s="8" t="s">
        <v>617</v>
      </c>
      <c r="K33" s="8" t="s">
        <v>5</v>
      </c>
    </row>
    <row r="34" spans="1:11" ht="45" x14ac:dyDescent="0.25">
      <c r="A34" s="156"/>
      <c r="B34" s="156"/>
      <c r="C34" s="156"/>
      <c r="D34" s="156"/>
      <c r="E34" s="156"/>
      <c r="F34" s="156"/>
      <c r="G34" s="156"/>
      <c r="H34" s="8">
        <v>2</v>
      </c>
      <c r="I34" s="8" t="s">
        <v>891</v>
      </c>
      <c r="J34" s="8" t="s">
        <v>232</v>
      </c>
      <c r="K34" s="8" t="s">
        <v>5</v>
      </c>
    </row>
    <row r="35" spans="1:11" ht="45" x14ac:dyDescent="0.25">
      <c r="A35" s="156"/>
      <c r="B35" s="156"/>
      <c r="C35" s="156"/>
      <c r="D35" s="156"/>
      <c r="E35" s="156"/>
      <c r="F35" s="156"/>
      <c r="G35" s="156"/>
      <c r="H35" s="8">
        <v>3</v>
      </c>
      <c r="I35" s="8" t="s">
        <v>607</v>
      </c>
      <c r="J35" s="8" t="s">
        <v>232</v>
      </c>
      <c r="K35" s="8" t="s">
        <v>5</v>
      </c>
    </row>
    <row r="36" spans="1:11" ht="45" x14ac:dyDescent="0.25">
      <c r="A36" s="156"/>
      <c r="B36" s="156"/>
      <c r="C36" s="156"/>
      <c r="D36" s="156"/>
      <c r="E36" s="156"/>
      <c r="F36" s="156"/>
      <c r="G36" s="156"/>
      <c r="H36" s="8">
        <v>4</v>
      </c>
      <c r="I36" s="8" t="s">
        <v>594</v>
      </c>
      <c r="J36" s="8" t="s">
        <v>232</v>
      </c>
      <c r="K36" s="8" t="s">
        <v>5</v>
      </c>
    </row>
    <row r="37" spans="1:11" ht="30" x14ac:dyDescent="0.25">
      <c r="A37" s="156">
        <v>19</v>
      </c>
      <c r="B37" s="156" t="s">
        <v>529</v>
      </c>
      <c r="C37" s="156" t="s">
        <v>561</v>
      </c>
      <c r="D37" s="156">
        <v>1</v>
      </c>
      <c r="E37" s="156" t="s">
        <v>572</v>
      </c>
      <c r="F37" s="156" t="s">
        <v>568</v>
      </c>
      <c r="G37" s="156" t="s">
        <v>534</v>
      </c>
      <c r="H37" s="8">
        <v>1</v>
      </c>
      <c r="I37" s="8" t="s">
        <v>892</v>
      </c>
      <c r="J37" s="8" t="s">
        <v>617</v>
      </c>
      <c r="K37" s="8" t="s">
        <v>5</v>
      </c>
    </row>
    <row r="38" spans="1:11" ht="45" x14ac:dyDescent="0.25">
      <c r="A38" s="156"/>
      <c r="B38" s="156"/>
      <c r="C38" s="156"/>
      <c r="D38" s="156"/>
      <c r="E38" s="156"/>
      <c r="F38" s="156"/>
      <c r="G38" s="156"/>
      <c r="H38" s="8">
        <v>2</v>
      </c>
      <c r="I38" s="8" t="s">
        <v>585</v>
      </c>
      <c r="J38" s="8" t="s">
        <v>232</v>
      </c>
      <c r="K38" s="8" t="s">
        <v>5</v>
      </c>
    </row>
    <row r="39" spans="1:11" ht="30" x14ac:dyDescent="0.25">
      <c r="A39" s="156">
        <v>20</v>
      </c>
      <c r="B39" s="156" t="s">
        <v>29</v>
      </c>
      <c r="C39" s="156" t="s">
        <v>561</v>
      </c>
      <c r="D39" s="156">
        <v>1</v>
      </c>
      <c r="E39" s="156" t="s">
        <v>572</v>
      </c>
      <c r="F39" s="156" t="s">
        <v>568</v>
      </c>
      <c r="G39" s="156" t="s">
        <v>535</v>
      </c>
      <c r="H39" s="8">
        <v>1</v>
      </c>
      <c r="I39" s="8" t="s">
        <v>893</v>
      </c>
      <c r="J39" s="8" t="s">
        <v>617</v>
      </c>
      <c r="K39" s="8" t="s">
        <v>5</v>
      </c>
    </row>
    <row r="40" spans="1:11" ht="96" customHeight="1" x14ac:dyDescent="0.25">
      <c r="A40" s="156"/>
      <c r="B40" s="156"/>
      <c r="C40" s="156"/>
      <c r="D40" s="156"/>
      <c r="E40" s="156"/>
      <c r="F40" s="156"/>
      <c r="G40" s="156"/>
      <c r="H40" s="8">
        <v>2</v>
      </c>
      <c r="I40" s="8" t="s">
        <v>894</v>
      </c>
      <c r="J40" s="8" t="s">
        <v>617</v>
      </c>
      <c r="K40" s="8" t="s">
        <v>5</v>
      </c>
    </row>
    <row r="41" spans="1:11" ht="30" x14ac:dyDescent="0.25">
      <c r="A41" s="156">
        <v>21</v>
      </c>
      <c r="B41" s="156" t="s">
        <v>30</v>
      </c>
      <c r="C41" s="156" t="s">
        <v>561</v>
      </c>
      <c r="D41" s="156">
        <v>1</v>
      </c>
      <c r="E41" s="156" t="s">
        <v>572</v>
      </c>
      <c r="F41" s="156" t="s">
        <v>568</v>
      </c>
      <c r="G41" s="156" t="s">
        <v>536</v>
      </c>
      <c r="H41" s="8">
        <v>1</v>
      </c>
      <c r="I41" s="8" t="s">
        <v>895</v>
      </c>
      <c r="J41" s="8" t="s">
        <v>617</v>
      </c>
      <c r="K41" s="8" t="s">
        <v>5</v>
      </c>
    </row>
    <row r="42" spans="1:11" ht="45" x14ac:dyDescent="0.25">
      <c r="A42" s="156"/>
      <c r="B42" s="156"/>
      <c r="C42" s="156"/>
      <c r="D42" s="156"/>
      <c r="E42" s="156"/>
      <c r="F42" s="156"/>
      <c r="G42" s="156"/>
      <c r="H42" s="8">
        <v>2</v>
      </c>
      <c r="I42" s="8" t="s">
        <v>896</v>
      </c>
      <c r="J42" s="8" t="s">
        <v>617</v>
      </c>
      <c r="K42" s="8" t="s">
        <v>5</v>
      </c>
    </row>
    <row r="43" spans="1:11" ht="45" x14ac:dyDescent="0.25">
      <c r="A43" s="156"/>
      <c r="B43" s="156"/>
      <c r="C43" s="156"/>
      <c r="D43" s="156"/>
      <c r="E43" s="156"/>
      <c r="F43" s="156"/>
      <c r="G43" s="156"/>
      <c r="H43" s="8">
        <v>3</v>
      </c>
      <c r="I43" s="8" t="s">
        <v>594</v>
      </c>
      <c r="J43" s="8" t="s">
        <v>232</v>
      </c>
      <c r="K43" s="8" t="s">
        <v>5</v>
      </c>
    </row>
    <row r="44" spans="1:11" ht="45" x14ac:dyDescent="0.25">
      <c r="A44" s="156"/>
      <c r="B44" s="156"/>
      <c r="C44" s="156"/>
      <c r="D44" s="156"/>
      <c r="E44" s="156"/>
      <c r="F44" s="156"/>
      <c r="G44" s="156"/>
      <c r="H44" s="8">
        <v>4</v>
      </c>
      <c r="I44" s="8" t="s">
        <v>623</v>
      </c>
      <c r="J44" s="8" t="s">
        <v>232</v>
      </c>
      <c r="K44" s="8" t="s">
        <v>5</v>
      </c>
    </row>
    <row r="45" spans="1:11" s="10" customFormat="1" ht="46.8" x14ac:dyDescent="0.25">
      <c r="A45" s="85" t="s">
        <v>31</v>
      </c>
      <c r="B45" s="170" t="s">
        <v>353</v>
      </c>
      <c r="C45" s="171"/>
      <c r="D45" s="171"/>
      <c r="E45" s="171"/>
      <c r="F45" s="171"/>
      <c r="G45" s="171"/>
      <c r="H45" s="85">
        <v>1</v>
      </c>
      <c r="I45" s="85" t="str">
        <f>"Pelo menos um dos campos de "&amp;A45&amp;" deve ser 1 quando [Dependência administrativa] for 1, 2 ou 3"</f>
        <v>Pelo menos um dos campos de 22 a 25 deve ser 1 quando [Dependência administrativa] for 1, 2 ou 3</v>
      </c>
      <c r="J45" s="85" t="s">
        <v>617</v>
      </c>
      <c r="K45" s="85" t="s">
        <v>5</v>
      </c>
    </row>
    <row r="46" spans="1:11" s="11" customFormat="1" ht="60" x14ac:dyDescent="0.25">
      <c r="A46" s="156">
        <v>22</v>
      </c>
      <c r="B46" s="156" t="s">
        <v>32</v>
      </c>
      <c r="C46" s="156" t="s">
        <v>565</v>
      </c>
      <c r="D46" s="156">
        <v>1</v>
      </c>
      <c r="E46" s="156" t="s">
        <v>573</v>
      </c>
      <c r="F46" s="156" t="s">
        <v>568</v>
      </c>
      <c r="G46" s="156" t="s">
        <v>538</v>
      </c>
      <c r="H46" s="8">
        <v>1</v>
      </c>
      <c r="I46" s="8" t="s">
        <v>897</v>
      </c>
      <c r="J46" s="8" t="s">
        <v>617</v>
      </c>
      <c r="K46" s="8" t="s">
        <v>5</v>
      </c>
    </row>
    <row r="47" spans="1:11" s="11" customFormat="1" ht="75" x14ac:dyDescent="0.25">
      <c r="A47" s="156"/>
      <c r="B47" s="156"/>
      <c r="C47" s="156"/>
      <c r="D47" s="156"/>
      <c r="E47" s="156"/>
      <c r="F47" s="156"/>
      <c r="G47" s="156"/>
      <c r="H47" s="8">
        <v>2</v>
      </c>
      <c r="I47" s="8" t="s">
        <v>595</v>
      </c>
      <c r="J47" s="8" t="s">
        <v>232</v>
      </c>
      <c r="K47" s="8" t="s">
        <v>5</v>
      </c>
    </row>
    <row r="48" spans="1:11" s="11" customFormat="1" ht="90" x14ac:dyDescent="0.25">
      <c r="A48" s="156"/>
      <c r="B48" s="156"/>
      <c r="C48" s="156"/>
      <c r="D48" s="156"/>
      <c r="E48" s="156"/>
      <c r="F48" s="156"/>
      <c r="G48" s="156"/>
      <c r="H48" s="8">
        <v>3</v>
      </c>
      <c r="I48" s="8" t="s">
        <v>596</v>
      </c>
      <c r="J48" s="8" t="s">
        <v>232</v>
      </c>
      <c r="K48" s="8" t="s">
        <v>5</v>
      </c>
    </row>
    <row r="49" spans="1:11" s="11" customFormat="1" ht="45" x14ac:dyDescent="0.25">
      <c r="A49" s="156"/>
      <c r="B49" s="156"/>
      <c r="C49" s="156"/>
      <c r="D49" s="156"/>
      <c r="E49" s="156"/>
      <c r="F49" s="156"/>
      <c r="G49" s="156"/>
      <c r="H49" s="8">
        <v>4</v>
      </c>
      <c r="I49" s="8" t="s">
        <v>898</v>
      </c>
      <c r="J49" s="8" t="s">
        <v>232</v>
      </c>
      <c r="K49" s="8" t="s">
        <v>5</v>
      </c>
    </row>
    <row r="50" spans="1:11" s="11" customFormat="1" ht="60" x14ac:dyDescent="0.25">
      <c r="A50" s="156">
        <v>23</v>
      </c>
      <c r="B50" s="156" t="s">
        <v>33</v>
      </c>
      <c r="C50" s="156" t="s">
        <v>565</v>
      </c>
      <c r="D50" s="156">
        <v>1</v>
      </c>
      <c r="E50" s="156" t="s">
        <v>573</v>
      </c>
      <c r="F50" s="156" t="s">
        <v>568</v>
      </c>
      <c r="G50" s="156" t="s">
        <v>538</v>
      </c>
      <c r="H50" s="8">
        <v>1</v>
      </c>
      <c r="I50" s="8" t="s">
        <v>897</v>
      </c>
      <c r="J50" s="8" t="s">
        <v>617</v>
      </c>
      <c r="K50" s="8" t="s">
        <v>5</v>
      </c>
    </row>
    <row r="51" spans="1:11" s="11" customFormat="1" ht="75" x14ac:dyDescent="0.25">
      <c r="A51" s="156"/>
      <c r="B51" s="156"/>
      <c r="C51" s="156"/>
      <c r="D51" s="156"/>
      <c r="E51" s="156"/>
      <c r="F51" s="156"/>
      <c r="G51" s="156"/>
      <c r="H51" s="8">
        <v>2</v>
      </c>
      <c r="I51" s="8" t="s">
        <v>595</v>
      </c>
      <c r="J51" s="8" t="s">
        <v>232</v>
      </c>
      <c r="K51" s="8" t="s">
        <v>5</v>
      </c>
    </row>
    <row r="52" spans="1:11" s="11" customFormat="1" ht="90" x14ac:dyDescent="0.25">
      <c r="A52" s="156"/>
      <c r="B52" s="156"/>
      <c r="C52" s="156"/>
      <c r="D52" s="156"/>
      <c r="E52" s="156"/>
      <c r="F52" s="156"/>
      <c r="G52" s="156"/>
      <c r="H52" s="8">
        <v>3</v>
      </c>
      <c r="I52" s="8" t="s">
        <v>596</v>
      </c>
      <c r="J52" s="8" t="s">
        <v>232</v>
      </c>
      <c r="K52" s="8" t="s">
        <v>5</v>
      </c>
    </row>
    <row r="53" spans="1:11" s="11" customFormat="1" ht="45" x14ac:dyDescent="0.25">
      <c r="A53" s="156"/>
      <c r="B53" s="156"/>
      <c r="C53" s="156"/>
      <c r="D53" s="156"/>
      <c r="E53" s="156"/>
      <c r="F53" s="156"/>
      <c r="G53" s="156"/>
      <c r="H53" s="8">
        <v>4</v>
      </c>
      <c r="I53" s="8" t="s">
        <v>899</v>
      </c>
      <c r="J53" s="8" t="s">
        <v>232</v>
      </c>
      <c r="K53" s="8" t="s">
        <v>5</v>
      </c>
    </row>
    <row r="54" spans="1:11" s="11" customFormat="1" ht="60" x14ac:dyDescent="0.25">
      <c r="A54" s="156">
        <v>24</v>
      </c>
      <c r="B54" s="156" t="s">
        <v>34</v>
      </c>
      <c r="C54" s="156" t="s">
        <v>565</v>
      </c>
      <c r="D54" s="156">
        <v>1</v>
      </c>
      <c r="E54" s="156" t="s">
        <v>573</v>
      </c>
      <c r="F54" s="156" t="s">
        <v>568</v>
      </c>
      <c r="G54" s="156" t="s">
        <v>538</v>
      </c>
      <c r="H54" s="8">
        <v>1</v>
      </c>
      <c r="I54" s="8" t="s">
        <v>897</v>
      </c>
      <c r="J54" s="8" t="s">
        <v>617</v>
      </c>
      <c r="K54" s="8" t="s">
        <v>5</v>
      </c>
    </row>
    <row r="55" spans="1:11" s="11" customFormat="1" ht="75" x14ac:dyDescent="0.25">
      <c r="A55" s="156"/>
      <c r="B55" s="156"/>
      <c r="C55" s="156"/>
      <c r="D55" s="156"/>
      <c r="E55" s="156"/>
      <c r="F55" s="156"/>
      <c r="G55" s="156"/>
      <c r="H55" s="8">
        <v>2</v>
      </c>
      <c r="I55" s="8" t="s">
        <v>595</v>
      </c>
      <c r="J55" s="8" t="s">
        <v>232</v>
      </c>
      <c r="K55" s="8" t="s">
        <v>5</v>
      </c>
    </row>
    <row r="56" spans="1:11" s="11" customFormat="1" ht="90" x14ac:dyDescent="0.25">
      <c r="A56" s="156"/>
      <c r="B56" s="156"/>
      <c r="C56" s="156"/>
      <c r="D56" s="156"/>
      <c r="E56" s="156"/>
      <c r="F56" s="156"/>
      <c r="G56" s="156"/>
      <c r="H56" s="8">
        <v>3</v>
      </c>
      <c r="I56" s="8" t="s">
        <v>596</v>
      </c>
      <c r="J56" s="8" t="s">
        <v>232</v>
      </c>
      <c r="K56" s="8" t="s">
        <v>5</v>
      </c>
    </row>
    <row r="57" spans="1:11" s="11" customFormat="1" ht="45" x14ac:dyDescent="0.25">
      <c r="A57" s="156"/>
      <c r="B57" s="156"/>
      <c r="C57" s="156"/>
      <c r="D57" s="156"/>
      <c r="E57" s="156"/>
      <c r="F57" s="156"/>
      <c r="G57" s="156"/>
      <c r="H57" s="8">
        <v>4</v>
      </c>
      <c r="I57" s="8" t="s">
        <v>899</v>
      </c>
      <c r="J57" s="8" t="s">
        <v>232</v>
      </c>
      <c r="K57" s="8" t="s">
        <v>5</v>
      </c>
    </row>
    <row r="58" spans="1:11" s="11" customFormat="1" ht="60" x14ac:dyDescent="0.25">
      <c r="A58" s="156">
        <v>25</v>
      </c>
      <c r="B58" s="156" t="s">
        <v>35</v>
      </c>
      <c r="C58" s="156" t="s">
        <v>565</v>
      </c>
      <c r="D58" s="156">
        <v>1</v>
      </c>
      <c r="E58" s="156" t="s">
        <v>573</v>
      </c>
      <c r="F58" s="156" t="s">
        <v>568</v>
      </c>
      <c r="G58" s="156" t="s">
        <v>538</v>
      </c>
      <c r="H58" s="8">
        <v>1</v>
      </c>
      <c r="I58" s="8" t="s">
        <v>897</v>
      </c>
      <c r="J58" s="8" t="s">
        <v>617</v>
      </c>
      <c r="K58" s="8" t="s">
        <v>5</v>
      </c>
    </row>
    <row r="59" spans="1:11" s="11" customFormat="1" ht="75" x14ac:dyDescent="0.25">
      <c r="A59" s="156"/>
      <c r="B59" s="156"/>
      <c r="C59" s="156"/>
      <c r="D59" s="156"/>
      <c r="E59" s="156"/>
      <c r="F59" s="156"/>
      <c r="G59" s="156"/>
      <c r="H59" s="8">
        <v>2</v>
      </c>
      <c r="I59" s="8" t="s">
        <v>595</v>
      </c>
      <c r="J59" s="8" t="s">
        <v>232</v>
      </c>
      <c r="K59" s="8" t="s">
        <v>5</v>
      </c>
    </row>
    <row r="60" spans="1:11" s="11" customFormat="1" ht="90" x14ac:dyDescent="0.25">
      <c r="A60" s="156"/>
      <c r="B60" s="156"/>
      <c r="C60" s="156"/>
      <c r="D60" s="156"/>
      <c r="E60" s="156"/>
      <c r="F60" s="156"/>
      <c r="G60" s="156"/>
      <c r="H60" s="8">
        <v>3</v>
      </c>
      <c r="I60" s="8" t="s">
        <v>596</v>
      </c>
      <c r="J60" s="8" t="s">
        <v>232</v>
      </c>
      <c r="K60" s="8" t="s">
        <v>5</v>
      </c>
    </row>
    <row r="61" spans="1:11" s="11" customFormat="1" ht="45" x14ac:dyDescent="0.25">
      <c r="A61" s="156"/>
      <c r="B61" s="156"/>
      <c r="C61" s="156"/>
      <c r="D61" s="156"/>
      <c r="E61" s="156"/>
      <c r="F61" s="156"/>
      <c r="G61" s="156"/>
      <c r="H61" s="8">
        <v>4</v>
      </c>
      <c r="I61" s="8" t="s">
        <v>899</v>
      </c>
      <c r="J61" s="8" t="s">
        <v>232</v>
      </c>
      <c r="K61" s="8" t="s">
        <v>5</v>
      </c>
    </row>
    <row r="62" spans="1:11" s="10" customFormat="1" ht="62.4" x14ac:dyDescent="0.25">
      <c r="A62" s="85" t="s">
        <v>36</v>
      </c>
      <c r="B62" s="170" t="s">
        <v>37</v>
      </c>
      <c r="C62" s="171"/>
      <c r="D62" s="171"/>
      <c r="E62" s="171"/>
      <c r="F62" s="171"/>
      <c r="G62" s="171"/>
      <c r="H62" s="85">
        <v>1</v>
      </c>
      <c r="I62" s="85" t="str">
        <f>"Pelo menos um dos campos de "&amp;A62&amp;" deve ser 1 quando [Situação de funcionamento] for 1 e [Dependência administrativa] for 4"</f>
        <v>Pelo menos um dos campos de 26 a 31 deve ser 1 quando [Situação de funcionamento] for 1 e [Dependência administrativa] for 4</v>
      </c>
      <c r="J62" s="85" t="s">
        <v>617</v>
      </c>
      <c r="K62" s="85" t="s">
        <v>5</v>
      </c>
    </row>
    <row r="63" spans="1:11" s="11" customFormat="1" ht="75" x14ac:dyDescent="0.25">
      <c r="A63" s="8">
        <v>26</v>
      </c>
      <c r="B63" s="8" t="s">
        <v>38</v>
      </c>
      <c r="C63" s="8" t="s">
        <v>565</v>
      </c>
      <c r="D63" s="8">
        <v>1</v>
      </c>
      <c r="E63" s="8" t="s">
        <v>572</v>
      </c>
      <c r="F63" s="8" t="s">
        <v>568</v>
      </c>
      <c r="G63" s="8" t="s">
        <v>538</v>
      </c>
      <c r="H63" s="8">
        <v>1</v>
      </c>
      <c r="I63" s="8" t="s">
        <v>900</v>
      </c>
      <c r="J63" s="8" t="s">
        <v>617</v>
      </c>
      <c r="K63" s="8" t="s">
        <v>5</v>
      </c>
    </row>
    <row r="64" spans="1:11" s="11" customFormat="1" ht="75" x14ac:dyDescent="0.25">
      <c r="A64" s="8">
        <v>27</v>
      </c>
      <c r="B64" s="8" t="s">
        <v>39</v>
      </c>
      <c r="C64" s="8" t="s">
        <v>565</v>
      </c>
      <c r="D64" s="8">
        <v>1</v>
      </c>
      <c r="E64" s="8" t="s">
        <v>572</v>
      </c>
      <c r="F64" s="8" t="s">
        <v>568</v>
      </c>
      <c r="G64" s="8" t="s">
        <v>538</v>
      </c>
      <c r="H64" s="8">
        <v>1</v>
      </c>
      <c r="I64" s="8" t="s">
        <v>900</v>
      </c>
      <c r="J64" s="8" t="s">
        <v>617</v>
      </c>
      <c r="K64" s="8" t="s">
        <v>5</v>
      </c>
    </row>
    <row r="65" spans="1:12" s="11" customFormat="1" ht="75" x14ac:dyDescent="0.25">
      <c r="A65" s="8">
        <v>28</v>
      </c>
      <c r="B65" s="8" t="s">
        <v>337</v>
      </c>
      <c r="C65" s="8" t="s">
        <v>565</v>
      </c>
      <c r="D65" s="8">
        <v>1</v>
      </c>
      <c r="E65" s="8" t="s">
        <v>572</v>
      </c>
      <c r="F65" s="8" t="s">
        <v>568</v>
      </c>
      <c r="G65" s="8" t="s">
        <v>538</v>
      </c>
      <c r="H65" s="8">
        <v>1</v>
      </c>
      <c r="I65" s="8" t="s">
        <v>900</v>
      </c>
      <c r="J65" s="8" t="s">
        <v>617</v>
      </c>
      <c r="K65" s="8" t="s">
        <v>5</v>
      </c>
    </row>
    <row r="66" spans="1:12" s="11" customFormat="1" ht="75" x14ac:dyDescent="0.25">
      <c r="A66" s="8">
        <v>29</v>
      </c>
      <c r="B66" s="8" t="s">
        <v>293</v>
      </c>
      <c r="C66" s="8" t="s">
        <v>565</v>
      </c>
      <c r="D66" s="8">
        <v>1</v>
      </c>
      <c r="E66" s="8" t="s">
        <v>572</v>
      </c>
      <c r="F66" s="8" t="s">
        <v>568</v>
      </c>
      <c r="G66" s="8" t="s">
        <v>538</v>
      </c>
      <c r="H66" s="8">
        <v>1</v>
      </c>
      <c r="I66" s="8" t="s">
        <v>900</v>
      </c>
      <c r="J66" s="8" t="s">
        <v>617</v>
      </c>
      <c r="K66" s="8" t="s">
        <v>5</v>
      </c>
    </row>
    <row r="67" spans="1:12" s="11" customFormat="1" ht="75" x14ac:dyDescent="0.25">
      <c r="A67" s="8">
        <v>30</v>
      </c>
      <c r="B67" s="8" t="s">
        <v>40</v>
      </c>
      <c r="C67" s="8" t="s">
        <v>565</v>
      </c>
      <c r="D67" s="8">
        <v>1</v>
      </c>
      <c r="E67" s="8" t="s">
        <v>572</v>
      </c>
      <c r="F67" s="8" t="s">
        <v>568</v>
      </c>
      <c r="G67" s="8" t="s">
        <v>538</v>
      </c>
      <c r="H67" s="8">
        <v>1</v>
      </c>
      <c r="I67" s="8" t="s">
        <v>900</v>
      </c>
      <c r="J67" s="8" t="s">
        <v>617</v>
      </c>
      <c r="K67" s="8" t="s">
        <v>5</v>
      </c>
    </row>
    <row r="68" spans="1:12" s="11" customFormat="1" ht="75" x14ac:dyDescent="0.25">
      <c r="A68" s="8">
        <v>31</v>
      </c>
      <c r="B68" s="8" t="s">
        <v>372</v>
      </c>
      <c r="C68" s="8" t="s">
        <v>565</v>
      </c>
      <c r="D68" s="8">
        <v>1</v>
      </c>
      <c r="E68" s="8" t="s">
        <v>572</v>
      </c>
      <c r="F68" s="8" t="s">
        <v>568</v>
      </c>
      <c r="G68" s="8" t="s">
        <v>538</v>
      </c>
      <c r="H68" s="8">
        <v>1</v>
      </c>
      <c r="I68" s="8" t="s">
        <v>900</v>
      </c>
      <c r="J68" s="8" t="s">
        <v>617</v>
      </c>
      <c r="K68" s="8" t="s">
        <v>5</v>
      </c>
    </row>
    <row r="69" spans="1:12" s="4" customFormat="1" ht="60" x14ac:dyDescent="0.25">
      <c r="A69" s="8">
        <v>32</v>
      </c>
      <c r="B69" s="8" t="s">
        <v>41</v>
      </c>
      <c r="C69" s="8" t="s">
        <v>565</v>
      </c>
      <c r="D69" s="8">
        <v>1</v>
      </c>
      <c r="E69" s="8" t="s">
        <v>572</v>
      </c>
      <c r="F69" s="8" t="s">
        <v>568</v>
      </c>
      <c r="G69" s="8" t="s">
        <v>537</v>
      </c>
      <c r="H69" s="8">
        <v>1</v>
      </c>
      <c r="I69" s="8" t="s">
        <v>1003</v>
      </c>
      <c r="J69" s="8" t="s">
        <v>617</v>
      </c>
      <c r="K69" s="8" t="s">
        <v>5</v>
      </c>
    </row>
    <row r="70" spans="1:12" s="11" customFormat="1" ht="60" x14ac:dyDescent="0.25">
      <c r="A70" s="156">
        <v>33</v>
      </c>
      <c r="B70" s="156" t="s">
        <v>608</v>
      </c>
      <c r="C70" s="156" t="s">
        <v>565</v>
      </c>
      <c r="D70" s="156">
        <v>1</v>
      </c>
      <c r="E70" s="156" t="s">
        <v>572</v>
      </c>
      <c r="F70" s="156" t="s">
        <v>568</v>
      </c>
      <c r="G70" s="156" t="s">
        <v>538</v>
      </c>
      <c r="H70" s="8">
        <v>1</v>
      </c>
      <c r="I70" s="8" t="s">
        <v>901</v>
      </c>
      <c r="J70" s="8" t="s">
        <v>617</v>
      </c>
      <c r="K70" s="8" t="s">
        <v>5</v>
      </c>
      <c r="L70" s="4"/>
    </row>
    <row r="71" spans="1:12" s="11" customFormat="1" ht="60" x14ac:dyDescent="0.25">
      <c r="A71" s="156"/>
      <c r="B71" s="156"/>
      <c r="C71" s="156"/>
      <c r="D71" s="156"/>
      <c r="E71" s="156"/>
      <c r="F71" s="156"/>
      <c r="G71" s="156"/>
      <c r="H71" s="8">
        <v>2</v>
      </c>
      <c r="I71" s="8" t="s">
        <v>597</v>
      </c>
      <c r="J71" s="8" t="s">
        <v>232</v>
      </c>
      <c r="K71" s="8" t="s">
        <v>5</v>
      </c>
      <c r="L71" s="4"/>
    </row>
    <row r="72" spans="1:12" s="11" customFormat="1" ht="60" x14ac:dyDescent="0.25">
      <c r="A72" s="156">
        <v>34</v>
      </c>
      <c r="B72" s="156" t="s">
        <v>609</v>
      </c>
      <c r="C72" s="156" t="s">
        <v>565</v>
      </c>
      <c r="D72" s="156">
        <v>1</v>
      </c>
      <c r="E72" s="156" t="s">
        <v>572</v>
      </c>
      <c r="F72" s="156" t="s">
        <v>568</v>
      </c>
      <c r="G72" s="156" t="s">
        <v>538</v>
      </c>
      <c r="H72" s="8">
        <v>1</v>
      </c>
      <c r="I72" s="8" t="s">
        <v>901</v>
      </c>
      <c r="J72" s="8" t="s">
        <v>617</v>
      </c>
      <c r="K72" s="8" t="s">
        <v>5</v>
      </c>
      <c r="L72" s="4"/>
    </row>
    <row r="73" spans="1:12" s="11" customFormat="1" ht="60" x14ac:dyDescent="0.25">
      <c r="A73" s="156"/>
      <c r="B73" s="156"/>
      <c r="C73" s="156"/>
      <c r="D73" s="156"/>
      <c r="E73" s="156"/>
      <c r="F73" s="156"/>
      <c r="G73" s="156"/>
      <c r="H73" s="8">
        <v>2</v>
      </c>
      <c r="I73" s="8" t="s">
        <v>598</v>
      </c>
      <c r="J73" s="8" t="s">
        <v>232</v>
      </c>
      <c r="K73" s="8" t="s">
        <v>5</v>
      </c>
      <c r="L73" s="4"/>
    </row>
    <row r="74" spans="1:12" s="10" customFormat="1" ht="93.6" x14ac:dyDescent="0.25">
      <c r="A74" s="158" t="s">
        <v>562</v>
      </c>
      <c r="B74" s="161" t="s">
        <v>611</v>
      </c>
      <c r="C74" s="162"/>
      <c r="D74" s="162"/>
      <c r="E74" s="162"/>
      <c r="F74" s="162"/>
      <c r="G74" s="163"/>
      <c r="H74" s="85">
        <v>1</v>
      </c>
      <c r="I74" s="85" t="str">
        <f>"Pelo menos um dos campos de "&amp;A74&amp;" deve ser 1 quando [Secretaria Estadual como poder público responsável pela parceria ou convênio entre a Administração Pública e outras instituições] for 1"</f>
        <v>Pelo menos um dos campos de 35 a 40 deve ser 1 quando [Secretaria Estadual como poder público responsável pela parceria ou convênio entre a Administração Pública e outras instituições] for 1</v>
      </c>
      <c r="J74" s="85" t="s">
        <v>617</v>
      </c>
      <c r="K74" s="85" t="s">
        <v>5</v>
      </c>
    </row>
    <row r="75" spans="1:12" s="10" customFormat="1" ht="62.4" x14ac:dyDescent="0.25">
      <c r="A75" s="159"/>
      <c r="B75" s="164"/>
      <c r="C75" s="165"/>
      <c r="D75" s="165"/>
      <c r="E75" s="165"/>
      <c r="F75" s="165"/>
      <c r="G75" s="166"/>
      <c r="H75" s="85">
        <v>2</v>
      </c>
      <c r="I75" s="85" t="s">
        <v>1026</v>
      </c>
      <c r="J75" s="85" t="s">
        <v>617</v>
      </c>
      <c r="K75" s="85" t="s">
        <v>5</v>
      </c>
    </row>
    <row r="76" spans="1:12" s="10" customFormat="1" ht="62.4" x14ac:dyDescent="0.25">
      <c r="A76" s="160"/>
      <c r="B76" s="167"/>
      <c r="C76" s="168"/>
      <c r="D76" s="168"/>
      <c r="E76" s="168"/>
      <c r="F76" s="168"/>
      <c r="G76" s="169"/>
      <c r="H76" s="85">
        <v>3</v>
      </c>
      <c r="I76" s="85" t="s">
        <v>1017</v>
      </c>
      <c r="J76" s="85" t="s">
        <v>232</v>
      </c>
      <c r="K76" s="85" t="s">
        <v>5</v>
      </c>
    </row>
    <row r="77" spans="1:12" s="11" customFormat="1" ht="90" x14ac:dyDescent="0.25">
      <c r="A77" s="8">
        <v>35</v>
      </c>
      <c r="B77" s="8" t="s">
        <v>328</v>
      </c>
      <c r="C77" s="8" t="s">
        <v>565</v>
      </c>
      <c r="D77" s="8">
        <v>1</v>
      </c>
      <c r="E77" s="8" t="s">
        <v>572</v>
      </c>
      <c r="F77" s="8" t="s">
        <v>568</v>
      </c>
      <c r="G77" s="8" t="s">
        <v>538</v>
      </c>
      <c r="H77" s="8">
        <v>1</v>
      </c>
      <c r="I77" s="8" t="s">
        <v>902</v>
      </c>
      <c r="J77" s="8" t="s">
        <v>617</v>
      </c>
      <c r="K77" s="8" t="s">
        <v>5</v>
      </c>
    </row>
    <row r="78" spans="1:12" s="11" customFormat="1" ht="90" x14ac:dyDescent="0.25">
      <c r="A78" s="8">
        <v>36</v>
      </c>
      <c r="B78" s="8" t="s">
        <v>329</v>
      </c>
      <c r="C78" s="8" t="s">
        <v>565</v>
      </c>
      <c r="D78" s="8">
        <v>1</v>
      </c>
      <c r="E78" s="8" t="s">
        <v>572</v>
      </c>
      <c r="F78" s="8" t="s">
        <v>568</v>
      </c>
      <c r="G78" s="8" t="s">
        <v>538</v>
      </c>
      <c r="H78" s="8">
        <v>1</v>
      </c>
      <c r="I78" s="8" t="s">
        <v>902</v>
      </c>
      <c r="J78" s="8" t="s">
        <v>617</v>
      </c>
      <c r="K78" s="8" t="s">
        <v>5</v>
      </c>
    </row>
    <row r="79" spans="1:12" s="11" customFormat="1" ht="90" x14ac:dyDescent="0.25">
      <c r="A79" s="8">
        <v>37</v>
      </c>
      <c r="B79" s="8" t="s">
        <v>330</v>
      </c>
      <c r="C79" s="86" t="s">
        <v>565</v>
      </c>
      <c r="D79" s="86">
        <v>1</v>
      </c>
      <c r="E79" s="86" t="s">
        <v>572</v>
      </c>
      <c r="F79" s="86" t="s">
        <v>568</v>
      </c>
      <c r="G79" s="8" t="s">
        <v>538</v>
      </c>
      <c r="H79" s="8">
        <v>1</v>
      </c>
      <c r="I79" s="8" t="s">
        <v>902</v>
      </c>
      <c r="J79" s="8" t="s">
        <v>617</v>
      </c>
      <c r="K79" s="8" t="s">
        <v>5</v>
      </c>
    </row>
    <row r="80" spans="1:12" s="11" customFormat="1" ht="90" x14ac:dyDescent="0.25">
      <c r="A80" s="8">
        <v>38</v>
      </c>
      <c r="B80" s="8" t="s">
        <v>331</v>
      </c>
      <c r="C80" s="8" t="s">
        <v>565</v>
      </c>
      <c r="D80" s="8">
        <v>1</v>
      </c>
      <c r="E80" s="8" t="s">
        <v>572</v>
      </c>
      <c r="F80" s="8" t="s">
        <v>568</v>
      </c>
      <c r="G80" s="8" t="s">
        <v>538</v>
      </c>
      <c r="H80" s="8">
        <v>1</v>
      </c>
      <c r="I80" s="8" t="s">
        <v>902</v>
      </c>
      <c r="J80" s="8" t="s">
        <v>617</v>
      </c>
      <c r="K80" s="8" t="s">
        <v>5</v>
      </c>
    </row>
    <row r="81" spans="1:11" s="11" customFormat="1" ht="90" x14ac:dyDescent="0.25">
      <c r="A81" s="8">
        <v>39</v>
      </c>
      <c r="B81" s="8" t="s">
        <v>332</v>
      </c>
      <c r="C81" s="8" t="s">
        <v>565</v>
      </c>
      <c r="D81" s="8">
        <v>1</v>
      </c>
      <c r="E81" s="8" t="s">
        <v>572</v>
      </c>
      <c r="F81" s="8" t="s">
        <v>568</v>
      </c>
      <c r="G81" s="8" t="s">
        <v>538</v>
      </c>
      <c r="H81" s="8">
        <v>1</v>
      </c>
      <c r="I81" s="8" t="s">
        <v>902</v>
      </c>
      <c r="J81" s="8" t="s">
        <v>617</v>
      </c>
      <c r="K81" s="8" t="s">
        <v>5</v>
      </c>
    </row>
    <row r="82" spans="1:11" s="11" customFormat="1" ht="90" x14ac:dyDescent="0.25">
      <c r="A82" s="8">
        <v>40</v>
      </c>
      <c r="B82" s="8" t="s">
        <v>333</v>
      </c>
      <c r="C82" s="8" t="s">
        <v>565</v>
      </c>
      <c r="D82" s="8">
        <v>1</v>
      </c>
      <c r="E82" s="8" t="s">
        <v>572</v>
      </c>
      <c r="F82" s="8" t="s">
        <v>568</v>
      </c>
      <c r="G82" s="8" t="s">
        <v>538</v>
      </c>
      <c r="H82" s="8">
        <v>1</v>
      </c>
      <c r="I82" s="8" t="s">
        <v>902</v>
      </c>
      <c r="J82" s="86" t="s">
        <v>617</v>
      </c>
      <c r="K82" s="86" t="s">
        <v>5</v>
      </c>
    </row>
    <row r="83" spans="1:11" s="10" customFormat="1" ht="93.6" x14ac:dyDescent="0.25">
      <c r="A83" s="158" t="s">
        <v>563</v>
      </c>
      <c r="B83" s="161" t="s">
        <v>610</v>
      </c>
      <c r="C83" s="162"/>
      <c r="D83" s="162"/>
      <c r="E83" s="162"/>
      <c r="F83" s="162"/>
      <c r="G83" s="163"/>
      <c r="H83" s="85">
        <v>1</v>
      </c>
      <c r="I83" s="85" t="str">
        <f>"Pelo menos um dos campos de "&amp;A83&amp;" deve 1 quando [Secretaria Municipal como poder público responsável pela parceria ou convênio entre a Administração Pública e outras instituições] for 1"</f>
        <v>Pelo menos um dos campos de 41 a 46 deve 1 quando [Secretaria Municipal como poder público responsável pela parceria ou convênio entre a Administração Pública e outras instituições] for 1</v>
      </c>
      <c r="J83" s="85" t="s">
        <v>617</v>
      </c>
      <c r="K83" s="85" t="s">
        <v>5</v>
      </c>
    </row>
    <row r="84" spans="1:11" s="10" customFormat="1" ht="62.4" x14ac:dyDescent="0.25">
      <c r="A84" s="159"/>
      <c r="B84" s="164"/>
      <c r="C84" s="165"/>
      <c r="D84" s="165"/>
      <c r="E84" s="165"/>
      <c r="F84" s="165"/>
      <c r="G84" s="166"/>
      <c r="H84" s="85">
        <v>2</v>
      </c>
      <c r="I84" s="85" t="s">
        <v>1026</v>
      </c>
      <c r="J84" s="85" t="s">
        <v>617</v>
      </c>
      <c r="K84" s="85" t="s">
        <v>5</v>
      </c>
    </row>
    <row r="85" spans="1:11" s="10" customFormat="1" ht="62.4" x14ac:dyDescent="0.25">
      <c r="A85" s="160"/>
      <c r="B85" s="167"/>
      <c r="C85" s="168"/>
      <c r="D85" s="168"/>
      <c r="E85" s="168"/>
      <c r="F85" s="168"/>
      <c r="G85" s="169"/>
      <c r="H85" s="85">
        <v>3</v>
      </c>
      <c r="I85" s="85" t="s">
        <v>1015</v>
      </c>
      <c r="J85" s="85" t="s">
        <v>232</v>
      </c>
      <c r="K85" s="85" t="s">
        <v>5</v>
      </c>
    </row>
    <row r="86" spans="1:11" s="11" customFormat="1" ht="90" x14ac:dyDescent="0.25">
      <c r="A86" s="8">
        <v>41</v>
      </c>
      <c r="B86" s="8" t="s">
        <v>328</v>
      </c>
      <c r="C86" s="8" t="s">
        <v>565</v>
      </c>
      <c r="D86" s="8">
        <v>1</v>
      </c>
      <c r="E86" s="8" t="s">
        <v>572</v>
      </c>
      <c r="F86" s="8" t="s">
        <v>568</v>
      </c>
      <c r="G86" s="8" t="s">
        <v>538</v>
      </c>
      <c r="H86" s="8">
        <v>1</v>
      </c>
      <c r="I86" s="8" t="s">
        <v>903</v>
      </c>
      <c r="J86" s="8" t="s">
        <v>617</v>
      </c>
      <c r="K86" s="8" t="s">
        <v>5</v>
      </c>
    </row>
    <row r="87" spans="1:11" s="11" customFormat="1" ht="90" x14ac:dyDescent="0.25">
      <c r="A87" s="8">
        <v>42</v>
      </c>
      <c r="B87" s="8" t="s">
        <v>329</v>
      </c>
      <c r="C87" s="8" t="s">
        <v>565</v>
      </c>
      <c r="D87" s="8">
        <v>1</v>
      </c>
      <c r="E87" s="8" t="s">
        <v>572</v>
      </c>
      <c r="F87" s="8" t="s">
        <v>568</v>
      </c>
      <c r="G87" s="8" t="s">
        <v>538</v>
      </c>
      <c r="H87" s="8">
        <v>1</v>
      </c>
      <c r="I87" s="8" t="s">
        <v>903</v>
      </c>
      <c r="J87" s="8" t="s">
        <v>617</v>
      </c>
      <c r="K87" s="8" t="s">
        <v>5</v>
      </c>
    </row>
    <row r="88" spans="1:11" s="11" customFormat="1" ht="90" x14ac:dyDescent="0.25">
      <c r="A88" s="8">
        <v>43</v>
      </c>
      <c r="B88" s="8" t="s">
        <v>330</v>
      </c>
      <c r="C88" s="86" t="s">
        <v>565</v>
      </c>
      <c r="D88" s="86">
        <v>1</v>
      </c>
      <c r="E88" s="86" t="s">
        <v>572</v>
      </c>
      <c r="F88" s="86" t="s">
        <v>568</v>
      </c>
      <c r="G88" s="8" t="s">
        <v>538</v>
      </c>
      <c r="H88" s="8">
        <v>1</v>
      </c>
      <c r="I88" s="8" t="s">
        <v>903</v>
      </c>
      <c r="J88" s="8" t="s">
        <v>617</v>
      </c>
      <c r="K88" s="8" t="s">
        <v>5</v>
      </c>
    </row>
    <row r="89" spans="1:11" s="11" customFormat="1" ht="90" x14ac:dyDescent="0.25">
      <c r="A89" s="8">
        <v>44</v>
      </c>
      <c r="B89" s="8" t="s">
        <v>331</v>
      </c>
      <c r="C89" s="8" t="s">
        <v>565</v>
      </c>
      <c r="D89" s="8">
        <v>1</v>
      </c>
      <c r="E89" s="8" t="s">
        <v>572</v>
      </c>
      <c r="F89" s="8" t="s">
        <v>568</v>
      </c>
      <c r="G89" s="8" t="s">
        <v>538</v>
      </c>
      <c r="H89" s="8">
        <v>1</v>
      </c>
      <c r="I89" s="8" t="s">
        <v>903</v>
      </c>
      <c r="J89" s="8" t="s">
        <v>617</v>
      </c>
      <c r="K89" s="8" t="s">
        <v>5</v>
      </c>
    </row>
    <row r="90" spans="1:11" s="11" customFormat="1" ht="90" x14ac:dyDescent="0.25">
      <c r="A90" s="8">
        <v>45</v>
      </c>
      <c r="B90" s="8" t="s">
        <v>332</v>
      </c>
      <c r="C90" s="8" t="s">
        <v>565</v>
      </c>
      <c r="D90" s="8">
        <v>1</v>
      </c>
      <c r="E90" s="8" t="s">
        <v>572</v>
      </c>
      <c r="F90" s="8" t="s">
        <v>568</v>
      </c>
      <c r="G90" s="8" t="s">
        <v>538</v>
      </c>
      <c r="H90" s="8">
        <v>1</v>
      </c>
      <c r="I90" s="8" t="s">
        <v>903</v>
      </c>
      <c r="J90" s="8" t="s">
        <v>617</v>
      </c>
      <c r="K90" s="8" t="s">
        <v>5</v>
      </c>
    </row>
    <row r="91" spans="1:11" s="11" customFormat="1" ht="90" x14ac:dyDescent="0.25">
      <c r="A91" s="8">
        <v>46</v>
      </c>
      <c r="B91" s="8" t="s">
        <v>333</v>
      </c>
      <c r="C91" s="8" t="s">
        <v>565</v>
      </c>
      <c r="D91" s="8">
        <v>1</v>
      </c>
      <c r="E91" s="8" t="s">
        <v>572</v>
      </c>
      <c r="F91" s="8" t="s">
        <v>568</v>
      </c>
      <c r="G91" s="8" t="s">
        <v>538</v>
      </c>
      <c r="H91" s="8">
        <v>1</v>
      </c>
      <c r="I91" s="8" t="s">
        <v>903</v>
      </c>
      <c r="J91" s="86" t="s">
        <v>617</v>
      </c>
      <c r="K91" s="86" t="s">
        <v>5</v>
      </c>
    </row>
    <row r="92" spans="1:11" s="4" customFormat="1" ht="165" x14ac:dyDescent="0.25">
      <c r="A92" s="8">
        <v>47</v>
      </c>
      <c r="B92" s="8" t="s">
        <v>42</v>
      </c>
      <c r="C92" s="8" t="s">
        <v>565</v>
      </c>
      <c r="D92" s="8">
        <v>14</v>
      </c>
      <c r="E92" s="8" t="s">
        <v>572</v>
      </c>
      <c r="F92" s="8" t="s">
        <v>567</v>
      </c>
      <c r="G92" s="84" t="s">
        <v>555</v>
      </c>
      <c r="H92" s="8">
        <v>1</v>
      </c>
      <c r="I92" s="8" t="s">
        <v>1210</v>
      </c>
      <c r="J92" s="8" t="s">
        <v>617</v>
      </c>
      <c r="K92" s="8" t="s">
        <v>5</v>
      </c>
    </row>
    <row r="93" spans="1:11" s="4" customFormat="1" ht="90" x14ac:dyDescent="0.25">
      <c r="A93" s="8">
        <v>48</v>
      </c>
      <c r="B93" s="8" t="s">
        <v>43</v>
      </c>
      <c r="C93" s="8" t="s">
        <v>523</v>
      </c>
      <c r="D93" s="8">
        <v>14</v>
      </c>
      <c r="E93" s="8" t="s">
        <v>572</v>
      </c>
      <c r="F93" s="8" t="s">
        <v>567</v>
      </c>
      <c r="G93" s="84" t="s">
        <v>555</v>
      </c>
      <c r="H93" s="8">
        <v>1</v>
      </c>
      <c r="I93" s="8" t="s">
        <v>613</v>
      </c>
      <c r="J93" s="8" t="s">
        <v>617</v>
      </c>
      <c r="K93" s="8" t="s">
        <v>5</v>
      </c>
    </row>
    <row r="94" spans="1:11" s="4" customFormat="1" ht="60" x14ac:dyDescent="0.25">
      <c r="A94" s="156">
        <v>49</v>
      </c>
      <c r="B94" s="156" t="s">
        <v>530</v>
      </c>
      <c r="C94" s="156" t="s">
        <v>565</v>
      </c>
      <c r="D94" s="156">
        <v>1</v>
      </c>
      <c r="E94" s="156" t="s">
        <v>572</v>
      </c>
      <c r="F94" s="156" t="s">
        <v>568</v>
      </c>
      <c r="G94" s="156" t="s">
        <v>544</v>
      </c>
      <c r="H94" s="8">
        <v>1</v>
      </c>
      <c r="I94" s="8" t="s">
        <v>904</v>
      </c>
      <c r="J94" s="8" t="s">
        <v>617</v>
      </c>
      <c r="K94" s="8" t="s">
        <v>5</v>
      </c>
    </row>
    <row r="95" spans="1:11" s="4" customFormat="1" ht="60" x14ac:dyDescent="0.25">
      <c r="A95" s="156"/>
      <c r="B95" s="156"/>
      <c r="C95" s="156"/>
      <c r="D95" s="156"/>
      <c r="E95" s="156"/>
      <c r="F95" s="156"/>
      <c r="G95" s="156"/>
      <c r="H95" s="8">
        <v>2</v>
      </c>
      <c r="I95" s="8" t="s">
        <v>597</v>
      </c>
      <c r="J95" s="8" t="s">
        <v>232</v>
      </c>
      <c r="K95" s="8" t="s">
        <v>5</v>
      </c>
    </row>
    <row r="96" spans="1:11" s="4" customFormat="1" ht="60" x14ac:dyDescent="0.25">
      <c r="A96" s="156">
        <v>50</v>
      </c>
      <c r="B96" s="156" t="s">
        <v>531</v>
      </c>
      <c r="C96" s="156" t="s">
        <v>565</v>
      </c>
      <c r="D96" s="156">
        <v>1</v>
      </c>
      <c r="E96" s="156" t="s">
        <v>572</v>
      </c>
      <c r="F96" s="156" t="s">
        <v>568</v>
      </c>
      <c r="G96" s="157" t="s">
        <v>1240</v>
      </c>
      <c r="H96" s="8">
        <v>1</v>
      </c>
      <c r="I96" s="115" t="s">
        <v>1243</v>
      </c>
      <c r="J96" s="117" t="s">
        <v>232</v>
      </c>
      <c r="K96" s="8" t="s">
        <v>5</v>
      </c>
    </row>
    <row r="97" spans="1:11" s="4" customFormat="1" ht="60" x14ac:dyDescent="0.25">
      <c r="A97" s="156"/>
      <c r="B97" s="156"/>
      <c r="C97" s="156"/>
      <c r="D97" s="156"/>
      <c r="E97" s="156"/>
      <c r="F97" s="156"/>
      <c r="G97" s="157"/>
      <c r="H97" s="8">
        <v>2</v>
      </c>
      <c r="I97" s="115" t="s">
        <v>1242</v>
      </c>
      <c r="J97" s="117" t="s">
        <v>232</v>
      </c>
      <c r="K97" s="8" t="s">
        <v>5</v>
      </c>
    </row>
    <row r="98" spans="1:11" s="4" customFormat="1" ht="75" x14ac:dyDescent="0.25">
      <c r="A98" s="156"/>
      <c r="B98" s="156"/>
      <c r="C98" s="156"/>
      <c r="D98" s="156"/>
      <c r="E98" s="156"/>
      <c r="F98" s="156"/>
      <c r="G98" s="157"/>
      <c r="H98" s="8">
        <v>3</v>
      </c>
      <c r="I98" s="115" t="s">
        <v>1244</v>
      </c>
      <c r="J98" s="117" t="s">
        <v>232</v>
      </c>
      <c r="K98" s="8" t="s">
        <v>5</v>
      </c>
    </row>
    <row r="99" spans="1:11" s="4" customFormat="1" ht="60" x14ac:dyDescent="0.25">
      <c r="A99" s="156"/>
      <c r="B99" s="156"/>
      <c r="C99" s="156"/>
      <c r="D99" s="156"/>
      <c r="E99" s="156"/>
      <c r="F99" s="156"/>
      <c r="G99" s="157"/>
      <c r="H99" s="8">
        <v>4</v>
      </c>
      <c r="I99" s="115" t="s">
        <v>1245</v>
      </c>
      <c r="J99" s="117" t="s">
        <v>232</v>
      </c>
      <c r="K99" s="8" t="s">
        <v>5</v>
      </c>
    </row>
    <row r="100" spans="1:11" s="4" customFormat="1" ht="75" x14ac:dyDescent="0.25">
      <c r="A100" s="156"/>
      <c r="B100" s="156"/>
      <c r="C100" s="156"/>
      <c r="D100" s="156"/>
      <c r="E100" s="156"/>
      <c r="F100" s="156"/>
      <c r="G100" s="157"/>
      <c r="H100" s="8">
        <v>5</v>
      </c>
      <c r="I100" s="116" t="s">
        <v>1247</v>
      </c>
      <c r="J100" s="117" t="s">
        <v>232</v>
      </c>
      <c r="K100" s="8" t="s">
        <v>5</v>
      </c>
    </row>
    <row r="101" spans="1:11" s="4" customFormat="1" ht="60" x14ac:dyDescent="0.25">
      <c r="A101" s="156">
        <v>51</v>
      </c>
      <c r="B101" s="156" t="s">
        <v>294</v>
      </c>
      <c r="C101" s="156" t="s">
        <v>565</v>
      </c>
      <c r="D101" s="156">
        <v>1</v>
      </c>
      <c r="E101" s="156" t="s">
        <v>572</v>
      </c>
      <c r="F101" s="156" t="s">
        <v>568</v>
      </c>
      <c r="G101" s="156" t="s">
        <v>546</v>
      </c>
      <c r="H101" s="8">
        <v>1</v>
      </c>
      <c r="I101" s="8" t="s">
        <v>906</v>
      </c>
      <c r="J101" s="8" t="s">
        <v>617</v>
      </c>
      <c r="K101" s="8" t="s">
        <v>5</v>
      </c>
    </row>
    <row r="102" spans="1:11" s="4" customFormat="1" ht="60" x14ac:dyDescent="0.25">
      <c r="A102" s="156"/>
      <c r="B102" s="156"/>
      <c r="C102" s="156"/>
      <c r="D102" s="156"/>
      <c r="E102" s="156"/>
      <c r="F102" s="156"/>
      <c r="G102" s="156"/>
      <c r="H102" s="8">
        <v>2</v>
      </c>
      <c r="I102" s="8" t="s">
        <v>602</v>
      </c>
      <c r="J102" s="8" t="s">
        <v>232</v>
      </c>
      <c r="K102" s="8" t="s">
        <v>5</v>
      </c>
    </row>
    <row r="103" spans="1:11" s="4" customFormat="1" ht="75" x14ac:dyDescent="0.25">
      <c r="A103" s="156">
        <v>52</v>
      </c>
      <c r="B103" s="156" t="s">
        <v>44</v>
      </c>
      <c r="C103" s="156" t="s">
        <v>565</v>
      </c>
      <c r="D103" s="156">
        <v>8</v>
      </c>
      <c r="E103" s="156" t="s">
        <v>572</v>
      </c>
      <c r="F103" s="156" t="s">
        <v>567</v>
      </c>
      <c r="G103" s="156" t="s">
        <v>555</v>
      </c>
      <c r="H103" s="8">
        <v>1</v>
      </c>
      <c r="I103" s="8" t="s">
        <v>907</v>
      </c>
      <c r="J103" s="8" t="s">
        <v>617</v>
      </c>
      <c r="K103" s="8" t="s">
        <v>5</v>
      </c>
    </row>
    <row r="104" spans="1:11" s="4" customFormat="1" ht="45" x14ac:dyDescent="0.25">
      <c r="A104" s="156"/>
      <c r="B104" s="156"/>
      <c r="C104" s="156"/>
      <c r="D104" s="156"/>
      <c r="E104" s="156"/>
      <c r="F104" s="156"/>
      <c r="G104" s="156"/>
      <c r="H104" s="8">
        <v>2</v>
      </c>
      <c r="I104" s="8" t="s">
        <v>603</v>
      </c>
      <c r="J104" s="8" t="s">
        <v>617</v>
      </c>
      <c r="K104" s="8" t="s">
        <v>5</v>
      </c>
    </row>
    <row r="105" spans="1:11" s="4" customFormat="1" ht="60" x14ac:dyDescent="0.25">
      <c r="A105" s="156"/>
      <c r="B105" s="156"/>
      <c r="C105" s="156"/>
      <c r="D105" s="156"/>
      <c r="E105" s="156"/>
      <c r="F105" s="156"/>
      <c r="G105" s="156"/>
      <c r="H105" s="8">
        <v>3</v>
      </c>
      <c r="I105" s="8" t="s">
        <v>604</v>
      </c>
      <c r="J105" s="8" t="s">
        <v>617</v>
      </c>
      <c r="K105" s="8" t="s">
        <v>5</v>
      </c>
    </row>
    <row r="106" spans="1:11" s="4" customFormat="1" ht="60" x14ac:dyDescent="0.25">
      <c r="A106" s="156"/>
      <c r="B106" s="156"/>
      <c r="C106" s="156"/>
      <c r="D106" s="156"/>
      <c r="E106" s="156"/>
      <c r="F106" s="156"/>
      <c r="G106" s="156"/>
      <c r="H106" s="8">
        <v>4</v>
      </c>
      <c r="I106" s="8" t="s">
        <v>614</v>
      </c>
      <c r="J106" s="8" t="s">
        <v>232</v>
      </c>
      <c r="K106" s="8" t="s">
        <v>5</v>
      </c>
    </row>
    <row r="107" spans="1:11" s="4" customFormat="1" ht="75" x14ac:dyDescent="0.25">
      <c r="A107" s="156">
        <v>53</v>
      </c>
      <c r="B107" s="156" t="s">
        <v>45</v>
      </c>
      <c r="C107" s="156" t="s">
        <v>565</v>
      </c>
      <c r="D107" s="156">
        <v>9</v>
      </c>
      <c r="E107" s="156" t="s">
        <v>573</v>
      </c>
      <c r="F107" s="156" t="s">
        <v>567</v>
      </c>
      <c r="G107" s="156" t="s">
        <v>555</v>
      </c>
      <c r="H107" s="8">
        <v>1</v>
      </c>
      <c r="I107" s="8" t="s">
        <v>908</v>
      </c>
      <c r="J107" s="8" t="s">
        <v>617</v>
      </c>
      <c r="K107" s="8" t="s">
        <v>5</v>
      </c>
    </row>
    <row r="108" spans="1:11" s="4" customFormat="1" ht="60" x14ac:dyDescent="0.25">
      <c r="A108" s="156"/>
      <c r="B108" s="156"/>
      <c r="C108" s="156"/>
      <c r="D108" s="156"/>
      <c r="E108" s="156"/>
      <c r="F108" s="156"/>
      <c r="G108" s="156"/>
      <c r="H108" s="8">
        <v>2</v>
      </c>
      <c r="I108" s="8" t="s">
        <v>615</v>
      </c>
      <c r="J108" s="8" t="s">
        <v>232</v>
      </c>
      <c r="K108" s="8" t="s">
        <v>5</v>
      </c>
    </row>
    <row r="109" spans="1:11" s="4" customFormat="1" ht="150" x14ac:dyDescent="0.25">
      <c r="A109" s="156"/>
      <c r="B109" s="156"/>
      <c r="C109" s="156"/>
      <c r="D109" s="156"/>
      <c r="E109" s="156"/>
      <c r="F109" s="156"/>
      <c r="G109" s="156"/>
      <c r="H109" s="8">
        <v>3</v>
      </c>
      <c r="I109" s="8" t="s">
        <v>616</v>
      </c>
      <c r="J109" s="8" t="s">
        <v>232</v>
      </c>
      <c r="K109" s="8" t="s">
        <v>5</v>
      </c>
    </row>
  </sheetData>
  <mergeCells count="167">
    <mergeCell ref="A83:A85"/>
    <mergeCell ref="B83:G85"/>
    <mergeCell ref="G3:G8"/>
    <mergeCell ref="A3:A8"/>
    <mergeCell ref="B3:B8"/>
    <mergeCell ref="C3:C8"/>
    <mergeCell ref="D3:D8"/>
    <mergeCell ref="E3:E8"/>
    <mergeCell ref="F3:F8"/>
    <mergeCell ref="A13:A14"/>
    <mergeCell ref="B13:B14"/>
    <mergeCell ref="C13:C14"/>
    <mergeCell ref="D13:D14"/>
    <mergeCell ref="E13:E14"/>
    <mergeCell ref="F13:F14"/>
    <mergeCell ref="G13:G14"/>
    <mergeCell ref="G15:G17"/>
    <mergeCell ref="A18:A19"/>
    <mergeCell ref="B18:B19"/>
    <mergeCell ref="C18:C19"/>
    <mergeCell ref="D18:D19"/>
    <mergeCell ref="E18:E19"/>
    <mergeCell ref="F18:F19"/>
    <mergeCell ref="G18:G19"/>
    <mergeCell ref="A15:A17"/>
    <mergeCell ref="B15:B17"/>
    <mergeCell ref="C15:C17"/>
    <mergeCell ref="D15:D17"/>
    <mergeCell ref="E15:E17"/>
    <mergeCell ref="F15:F17"/>
    <mergeCell ref="G24:G26"/>
    <mergeCell ref="A27:A28"/>
    <mergeCell ref="B27:B28"/>
    <mergeCell ref="C27:C28"/>
    <mergeCell ref="D27:D28"/>
    <mergeCell ref="E27:E28"/>
    <mergeCell ref="F27:F28"/>
    <mergeCell ref="G27:G28"/>
    <mergeCell ref="A24:A26"/>
    <mergeCell ref="B24:B26"/>
    <mergeCell ref="C24:C26"/>
    <mergeCell ref="D24:D26"/>
    <mergeCell ref="E24:E26"/>
    <mergeCell ref="F24:F26"/>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33:G36"/>
    <mergeCell ref="A37:A38"/>
    <mergeCell ref="B37:B38"/>
    <mergeCell ref="C37:C38"/>
    <mergeCell ref="D37:D38"/>
    <mergeCell ref="E37:E38"/>
    <mergeCell ref="F37:F38"/>
    <mergeCell ref="G37:G38"/>
    <mergeCell ref="A33:A36"/>
    <mergeCell ref="B33:B36"/>
    <mergeCell ref="C33:C36"/>
    <mergeCell ref="D33:D36"/>
    <mergeCell ref="E33:E36"/>
    <mergeCell ref="F33:F36"/>
    <mergeCell ref="G70:G71"/>
    <mergeCell ref="G39:G40"/>
    <mergeCell ref="A41:A44"/>
    <mergeCell ref="B41:B44"/>
    <mergeCell ref="C41:C44"/>
    <mergeCell ref="D41:D44"/>
    <mergeCell ref="E41:E44"/>
    <mergeCell ref="F41:F44"/>
    <mergeCell ref="G41:G44"/>
    <mergeCell ref="A39:A40"/>
    <mergeCell ref="B39:B40"/>
    <mergeCell ref="C39:C40"/>
    <mergeCell ref="D39:D40"/>
    <mergeCell ref="E39:E40"/>
    <mergeCell ref="F39:F40"/>
    <mergeCell ref="B45:G45"/>
    <mergeCell ref="B62:G62"/>
    <mergeCell ref="G46:G49"/>
    <mergeCell ref="C46:C49"/>
    <mergeCell ref="D46:D49"/>
    <mergeCell ref="E46:E49"/>
    <mergeCell ref="F46:F49"/>
    <mergeCell ref="A58:A61"/>
    <mergeCell ref="B58:B61"/>
    <mergeCell ref="G72:G73"/>
    <mergeCell ref="A72:A73"/>
    <mergeCell ref="B72:B73"/>
    <mergeCell ref="C72:C73"/>
    <mergeCell ref="D72:D73"/>
    <mergeCell ref="E72:E73"/>
    <mergeCell ref="F72:F73"/>
    <mergeCell ref="A74:A76"/>
    <mergeCell ref="B74:G76"/>
    <mergeCell ref="A94:A95"/>
    <mergeCell ref="B94:B95"/>
    <mergeCell ref="C94:C95"/>
    <mergeCell ref="D94:D95"/>
    <mergeCell ref="E94:E95"/>
    <mergeCell ref="F94:F95"/>
    <mergeCell ref="G94:G95"/>
    <mergeCell ref="G96:G100"/>
    <mergeCell ref="A101:A102"/>
    <mergeCell ref="B101:B102"/>
    <mergeCell ref="C101:C102"/>
    <mergeCell ref="D101:D102"/>
    <mergeCell ref="E101:E102"/>
    <mergeCell ref="F101:F102"/>
    <mergeCell ref="G101:G102"/>
    <mergeCell ref="A96:A100"/>
    <mergeCell ref="B96:B100"/>
    <mergeCell ref="C96:C100"/>
    <mergeCell ref="D96:D100"/>
    <mergeCell ref="E96:E100"/>
    <mergeCell ref="F96:F100"/>
    <mergeCell ref="G103:G106"/>
    <mergeCell ref="A107:A109"/>
    <mergeCell ref="B107:B109"/>
    <mergeCell ref="C107:C109"/>
    <mergeCell ref="D107:D109"/>
    <mergeCell ref="E107:E109"/>
    <mergeCell ref="F107:F109"/>
    <mergeCell ref="G107:G109"/>
    <mergeCell ref="A103:A106"/>
    <mergeCell ref="B103:B106"/>
    <mergeCell ref="C103:C106"/>
    <mergeCell ref="D103:D106"/>
    <mergeCell ref="E103:E106"/>
    <mergeCell ref="F103:F106"/>
    <mergeCell ref="A46:A49"/>
    <mergeCell ref="B46:B49"/>
    <mergeCell ref="A50:A53"/>
    <mergeCell ref="B50:B53"/>
    <mergeCell ref="C50:C53"/>
    <mergeCell ref="C54:C57"/>
    <mergeCell ref="C58:C61"/>
    <mergeCell ref="A54:A57"/>
    <mergeCell ref="B54:B57"/>
    <mergeCell ref="G58:G61"/>
    <mergeCell ref="D50:D53"/>
    <mergeCell ref="E50:E53"/>
    <mergeCell ref="F50:F53"/>
    <mergeCell ref="G50:G53"/>
    <mergeCell ref="D54:D57"/>
    <mergeCell ref="E54:E57"/>
    <mergeCell ref="F54:F57"/>
    <mergeCell ref="G54:G57"/>
    <mergeCell ref="A70:A71"/>
    <mergeCell ref="B70:B71"/>
    <mergeCell ref="C70:C71"/>
    <mergeCell ref="D70:D71"/>
    <mergeCell ref="E70:E71"/>
    <mergeCell ref="F70:F71"/>
    <mergeCell ref="D58:D61"/>
    <mergeCell ref="E58:E61"/>
    <mergeCell ref="F58:F61"/>
  </mergeCells>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2695-4032-4287-9605-CA20A26B663A}">
  <sheetPr codeName="Planilha5">
    <tabColor theme="3" tint="0.59999389629810485"/>
  </sheetPr>
  <dimension ref="A1:AMO231"/>
  <sheetViews>
    <sheetView showGridLines="0" zoomScaleNormal="100" workbookViewId="0">
      <pane ySplit="1" topLeftCell="A2" activePane="bottomLeft" state="frozen"/>
      <selection pane="bottomLeft" activeCell="B8" sqref="B8"/>
    </sheetView>
  </sheetViews>
  <sheetFormatPr defaultColWidth="9.109375" defaultRowHeight="15" x14ac:dyDescent="0.25"/>
  <cols>
    <col min="1" max="1" width="14.109375" style="4" bestFit="1" customWidth="1"/>
    <col min="2" max="2" width="42.88671875" style="3" customWidth="1"/>
    <col min="3" max="6" width="8.5546875" style="4" customWidth="1"/>
    <col min="7" max="7" width="35.6640625" style="4" customWidth="1"/>
    <col min="8" max="8" width="5.6640625" style="4" customWidth="1"/>
    <col min="9" max="9" width="42.88671875" style="4" customWidth="1"/>
    <col min="10" max="10" width="19" style="4" bestFit="1" customWidth="1"/>
    <col min="11" max="11" width="14.44140625" style="4" bestFit="1" customWidth="1"/>
    <col min="12" max="14" width="14.6640625" style="4" customWidth="1"/>
    <col min="15" max="15" width="13.6640625" style="9" bestFit="1" customWidth="1"/>
    <col min="16" max="16384" width="9.109375" style="9"/>
  </cols>
  <sheetData>
    <row r="1" spans="1:15" s="39" customFormat="1" ht="30" customHeight="1" x14ac:dyDescent="0.25">
      <c r="A1" s="35" t="s">
        <v>524</v>
      </c>
      <c r="B1" s="35" t="s">
        <v>525</v>
      </c>
      <c r="C1" s="35" t="s">
        <v>564</v>
      </c>
      <c r="D1" s="35" t="s">
        <v>560</v>
      </c>
      <c r="E1" s="35" t="s">
        <v>556</v>
      </c>
      <c r="F1" s="35" t="s">
        <v>528</v>
      </c>
      <c r="G1" s="35" t="s">
        <v>539</v>
      </c>
      <c r="H1" s="35" t="s">
        <v>523</v>
      </c>
      <c r="I1" s="35" t="s">
        <v>0</v>
      </c>
      <c r="J1" s="35" t="s">
        <v>667</v>
      </c>
      <c r="K1" s="35" t="s">
        <v>668</v>
      </c>
      <c r="L1" s="36" t="s">
        <v>6</v>
      </c>
      <c r="M1" s="37" t="s">
        <v>7</v>
      </c>
      <c r="N1" s="38" t="s">
        <v>8</v>
      </c>
      <c r="O1" s="76" t="s">
        <v>1039</v>
      </c>
    </row>
    <row r="2" spans="1:15" s="4" customFormat="1" ht="30" x14ac:dyDescent="0.25">
      <c r="A2" s="2">
        <v>1</v>
      </c>
      <c r="B2" s="2" t="s">
        <v>11</v>
      </c>
      <c r="C2" s="2" t="s">
        <v>561</v>
      </c>
      <c r="D2" s="2">
        <v>2</v>
      </c>
      <c r="E2" s="2" t="s">
        <v>572</v>
      </c>
      <c r="F2" s="87" t="s">
        <v>567</v>
      </c>
      <c r="G2" s="87" t="s">
        <v>532</v>
      </c>
      <c r="H2" s="2">
        <v>1</v>
      </c>
      <c r="I2" s="2" t="s">
        <v>625</v>
      </c>
      <c r="J2" s="2" t="s">
        <v>617</v>
      </c>
      <c r="K2" s="2" t="s">
        <v>5</v>
      </c>
    </row>
    <row r="3" spans="1:15" s="4" customFormat="1" ht="45" x14ac:dyDescent="0.25">
      <c r="A3" s="2">
        <v>2</v>
      </c>
      <c r="B3" s="2" t="s">
        <v>12</v>
      </c>
      <c r="C3" s="2" t="s">
        <v>561</v>
      </c>
      <c r="D3" s="2">
        <v>8</v>
      </c>
      <c r="E3" s="2" t="s">
        <v>572</v>
      </c>
      <c r="F3" s="2" t="s">
        <v>567</v>
      </c>
      <c r="G3" s="2" t="s">
        <v>555</v>
      </c>
      <c r="H3" s="2">
        <v>1</v>
      </c>
      <c r="I3" s="2" t="s">
        <v>626</v>
      </c>
      <c r="J3" s="2" t="s">
        <v>617</v>
      </c>
      <c r="K3" s="2" t="s">
        <v>5</v>
      </c>
    </row>
    <row r="4" spans="1:15" s="13" customFormat="1" ht="31.2" x14ac:dyDescent="0.25">
      <c r="A4" s="88" t="s">
        <v>46</v>
      </c>
      <c r="B4" s="173" t="s">
        <v>47</v>
      </c>
      <c r="C4" s="173"/>
      <c r="D4" s="173"/>
      <c r="E4" s="173"/>
      <c r="F4" s="173"/>
      <c r="G4" s="173"/>
      <c r="H4" s="88">
        <v>1</v>
      </c>
      <c r="I4" s="88" t="str">
        <f>"Pelo menos um dos campos de "&amp;A4&amp;" deve 1"</f>
        <v>Pelo menos um dos campos de 3 a 8 deve 1</v>
      </c>
      <c r="J4" s="88" t="s">
        <v>617</v>
      </c>
      <c r="K4" s="88" t="s">
        <v>5</v>
      </c>
      <c r="L4" s="10"/>
      <c r="M4" s="10"/>
      <c r="N4" s="10"/>
    </row>
    <row r="5" spans="1:15" s="14" customFormat="1" ht="30" x14ac:dyDescent="0.25">
      <c r="A5" s="2">
        <v>3</v>
      </c>
      <c r="B5" s="2" t="s">
        <v>48</v>
      </c>
      <c r="C5" s="2" t="s">
        <v>561</v>
      </c>
      <c r="D5" s="2">
        <v>1</v>
      </c>
      <c r="E5" s="2" t="s">
        <v>572</v>
      </c>
      <c r="F5" s="2" t="s">
        <v>568</v>
      </c>
      <c r="G5" s="2" t="s">
        <v>538</v>
      </c>
      <c r="H5" s="2">
        <v>1</v>
      </c>
      <c r="I5" s="2" t="s">
        <v>662</v>
      </c>
      <c r="J5" s="2" t="s">
        <v>617</v>
      </c>
      <c r="K5" s="2" t="s">
        <v>5</v>
      </c>
      <c r="L5" s="11"/>
      <c r="M5" s="11"/>
      <c r="N5" s="11"/>
    </row>
    <row r="6" spans="1:15" s="14" customFormat="1" ht="30" x14ac:dyDescent="0.25">
      <c r="A6" s="2">
        <v>4</v>
      </c>
      <c r="B6" s="2" t="s">
        <v>49</v>
      </c>
      <c r="C6" s="2" t="s">
        <v>561</v>
      </c>
      <c r="D6" s="2">
        <v>1</v>
      </c>
      <c r="E6" s="2" t="s">
        <v>572</v>
      </c>
      <c r="F6" s="2" t="s">
        <v>568</v>
      </c>
      <c r="G6" s="2" t="s">
        <v>538</v>
      </c>
      <c r="H6" s="2">
        <v>1</v>
      </c>
      <c r="I6" s="2" t="s">
        <v>662</v>
      </c>
      <c r="J6" s="2" t="s">
        <v>617</v>
      </c>
      <c r="K6" s="2" t="s">
        <v>5</v>
      </c>
      <c r="L6" s="11"/>
      <c r="M6" s="11"/>
      <c r="N6" s="11"/>
    </row>
    <row r="7" spans="1:15" s="14" customFormat="1" ht="30" x14ac:dyDescent="0.25">
      <c r="A7" s="2">
        <v>5</v>
      </c>
      <c r="B7" s="2" t="s">
        <v>295</v>
      </c>
      <c r="C7" s="2" t="s">
        <v>561</v>
      </c>
      <c r="D7" s="2">
        <v>1</v>
      </c>
      <c r="E7" s="2" t="s">
        <v>572</v>
      </c>
      <c r="F7" s="2" t="s">
        <v>568</v>
      </c>
      <c r="G7" s="2" t="s">
        <v>538</v>
      </c>
      <c r="H7" s="2">
        <v>1</v>
      </c>
      <c r="I7" s="2" t="s">
        <v>662</v>
      </c>
      <c r="J7" s="2" t="s">
        <v>617</v>
      </c>
      <c r="K7" s="2" t="s">
        <v>5</v>
      </c>
      <c r="L7" s="11"/>
      <c r="M7" s="11"/>
      <c r="N7" s="11"/>
    </row>
    <row r="8" spans="1:15" s="14" customFormat="1" ht="30" x14ac:dyDescent="0.25">
      <c r="A8" s="2">
        <v>6</v>
      </c>
      <c r="B8" s="2" t="s">
        <v>50</v>
      </c>
      <c r="C8" s="2" t="s">
        <v>561</v>
      </c>
      <c r="D8" s="2">
        <v>1</v>
      </c>
      <c r="E8" s="2" t="s">
        <v>572</v>
      </c>
      <c r="F8" s="2" t="s">
        <v>568</v>
      </c>
      <c r="G8" s="2" t="s">
        <v>538</v>
      </c>
      <c r="H8" s="2">
        <v>1</v>
      </c>
      <c r="I8" s="2" t="s">
        <v>662</v>
      </c>
      <c r="J8" s="2" t="s">
        <v>617</v>
      </c>
      <c r="K8" s="2" t="s">
        <v>5</v>
      </c>
      <c r="L8" s="11"/>
      <c r="M8" s="11"/>
      <c r="N8" s="11"/>
    </row>
    <row r="9" spans="1:15" s="14" customFormat="1" ht="30" x14ac:dyDescent="0.25">
      <c r="A9" s="2">
        <v>7</v>
      </c>
      <c r="B9" s="2" t="s">
        <v>51</v>
      </c>
      <c r="C9" s="2" t="s">
        <v>561</v>
      </c>
      <c r="D9" s="2">
        <v>1</v>
      </c>
      <c r="E9" s="2" t="s">
        <v>572</v>
      </c>
      <c r="F9" s="2" t="s">
        <v>568</v>
      </c>
      <c r="G9" s="2" t="s">
        <v>538</v>
      </c>
      <c r="H9" s="2">
        <v>1</v>
      </c>
      <c r="I9" s="2" t="s">
        <v>662</v>
      </c>
      <c r="J9" s="2" t="s">
        <v>617</v>
      </c>
      <c r="K9" s="2" t="s">
        <v>5</v>
      </c>
      <c r="L9" s="11"/>
      <c r="M9" s="11"/>
      <c r="N9" s="11"/>
    </row>
    <row r="10" spans="1:15" s="14" customFormat="1" ht="30" x14ac:dyDescent="0.25">
      <c r="A10" s="2">
        <v>8</v>
      </c>
      <c r="B10" s="2" t="s">
        <v>52</v>
      </c>
      <c r="C10" s="2" t="s">
        <v>561</v>
      </c>
      <c r="D10" s="2">
        <v>1</v>
      </c>
      <c r="E10" s="2" t="s">
        <v>572</v>
      </c>
      <c r="F10" s="2" t="s">
        <v>568</v>
      </c>
      <c r="G10" s="2" t="s">
        <v>538</v>
      </c>
      <c r="H10" s="2">
        <v>1</v>
      </c>
      <c r="I10" s="2" t="s">
        <v>662</v>
      </c>
      <c r="J10" s="2" t="s">
        <v>617</v>
      </c>
      <c r="K10" s="2" t="s">
        <v>5</v>
      </c>
      <c r="L10" s="11"/>
      <c r="M10" s="11"/>
      <c r="N10" s="11"/>
    </row>
    <row r="11" spans="1:15" s="4" customFormat="1" ht="45" x14ac:dyDescent="0.25">
      <c r="A11" s="2">
        <v>9</v>
      </c>
      <c r="B11" s="2" t="s">
        <v>53</v>
      </c>
      <c r="C11" s="2" t="s">
        <v>565</v>
      </c>
      <c r="D11" s="2">
        <v>1</v>
      </c>
      <c r="E11" s="2" t="s">
        <v>572</v>
      </c>
      <c r="F11" s="2" t="s">
        <v>568</v>
      </c>
      <c r="G11" s="2" t="s">
        <v>548</v>
      </c>
      <c r="H11" s="2">
        <v>1</v>
      </c>
      <c r="I11" s="2" t="s">
        <v>1173</v>
      </c>
      <c r="J11" s="2" t="s">
        <v>617</v>
      </c>
      <c r="K11" s="2" t="s">
        <v>5</v>
      </c>
    </row>
    <row r="12" spans="1:15" s="4" customFormat="1" ht="45" x14ac:dyDescent="0.25">
      <c r="A12" s="2">
        <v>10</v>
      </c>
      <c r="B12" s="2" t="s">
        <v>309</v>
      </c>
      <c r="C12" s="2" t="s">
        <v>565</v>
      </c>
      <c r="D12" s="2">
        <v>1</v>
      </c>
      <c r="E12" s="2" t="s">
        <v>572</v>
      </c>
      <c r="F12" s="2" t="s">
        <v>568</v>
      </c>
      <c r="G12" s="2" t="s">
        <v>538</v>
      </c>
      <c r="H12" s="2">
        <v>1</v>
      </c>
      <c r="I12" s="2" t="s">
        <v>1174</v>
      </c>
      <c r="J12" s="2" t="s">
        <v>617</v>
      </c>
      <c r="K12" s="2" t="s">
        <v>5</v>
      </c>
    </row>
    <row r="13" spans="1:15" s="13" customFormat="1" ht="31.2" x14ac:dyDescent="0.25">
      <c r="A13" s="173" t="s">
        <v>54</v>
      </c>
      <c r="B13" s="173" t="s">
        <v>55</v>
      </c>
      <c r="C13" s="173"/>
      <c r="D13" s="173"/>
      <c r="E13" s="173"/>
      <c r="F13" s="173"/>
      <c r="G13" s="173"/>
      <c r="H13" s="88">
        <v>1</v>
      </c>
      <c r="I13" s="88" t="str">
        <f>"Não pode haver dois dos campos de "&amp;A13&amp;" com valor igual"</f>
        <v>Não pode haver dois dos campos de 11 a 16 com valor igual</v>
      </c>
      <c r="J13" s="88" t="s">
        <v>617</v>
      </c>
      <c r="K13" s="88" t="s">
        <v>5</v>
      </c>
      <c r="L13" s="10"/>
      <c r="M13" s="10"/>
      <c r="N13" s="10"/>
    </row>
    <row r="14" spans="1:15" s="13" customFormat="1" ht="78" x14ac:dyDescent="0.25">
      <c r="A14" s="173"/>
      <c r="B14" s="173"/>
      <c r="C14" s="173"/>
      <c r="D14" s="173"/>
      <c r="E14" s="173"/>
      <c r="F14" s="173"/>
      <c r="G14" s="173"/>
      <c r="H14" s="88">
        <v>2</v>
      </c>
      <c r="I14" s="88" t="s">
        <v>1038</v>
      </c>
      <c r="J14" s="88" t="s">
        <v>617</v>
      </c>
      <c r="K14" s="88" t="s">
        <v>5</v>
      </c>
      <c r="L14" s="10"/>
      <c r="M14" s="10"/>
      <c r="N14" s="10"/>
    </row>
    <row r="15" spans="1:15" s="14" customFormat="1" ht="75" x14ac:dyDescent="0.25">
      <c r="A15" s="172">
        <v>11</v>
      </c>
      <c r="B15" s="172" t="s">
        <v>56</v>
      </c>
      <c r="C15" s="172" t="s">
        <v>565</v>
      </c>
      <c r="D15" s="172">
        <v>8</v>
      </c>
      <c r="E15" s="172" t="s">
        <v>572</v>
      </c>
      <c r="F15" s="172" t="s">
        <v>567</v>
      </c>
      <c r="G15" s="172" t="s">
        <v>574</v>
      </c>
      <c r="H15" s="2">
        <v>1</v>
      </c>
      <c r="I15" s="2" t="s">
        <v>909</v>
      </c>
      <c r="J15" s="2" t="s">
        <v>617</v>
      </c>
      <c r="K15" s="2" t="s">
        <v>5</v>
      </c>
      <c r="L15" s="11"/>
      <c r="M15" s="11"/>
      <c r="N15" s="11"/>
    </row>
    <row r="16" spans="1:15" s="14" customFormat="1" ht="60" x14ac:dyDescent="0.25">
      <c r="A16" s="172"/>
      <c r="B16" s="172"/>
      <c r="C16" s="172"/>
      <c r="D16" s="172"/>
      <c r="E16" s="172"/>
      <c r="F16" s="172"/>
      <c r="G16" s="172"/>
      <c r="H16" s="2">
        <v>2</v>
      </c>
      <c r="I16" s="2" t="s">
        <v>910</v>
      </c>
      <c r="J16" s="2" t="s">
        <v>232</v>
      </c>
      <c r="K16" s="2" t="s">
        <v>5</v>
      </c>
      <c r="L16" s="11"/>
      <c r="M16" s="11"/>
      <c r="N16" s="11"/>
    </row>
    <row r="17" spans="1:14" s="14" customFormat="1" ht="45" x14ac:dyDescent="0.25">
      <c r="A17" s="172">
        <v>12</v>
      </c>
      <c r="B17" s="172" t="s">
        <v>57</v>
      </c>
      <c r="C17" s="172" t="s">
        <v>565</v>
      </c>
      <c r="D17" s="172">
        <v>8</v>
      </c>
      <c r="E17" s="172" t="s">
        <v>572</v>
      </c>
      <c r="F17" s="172" t="s">
        <v>567</v>
      </c>
      <c r="G17" s="172" t="s">
        <v>574</v>
      </c>
      <c r="H17" s="2">
        <v>1</v>
      </c>
      <c r="I17" s="2" t="s">
        <v>603</v>
      </c>
      <c r="J17" s="2" t="s">
        <v>617</v>
      </c>
      <c r="K17" s="2" t="s">
        <v>5</v>
      </c>
      <c r="L17" s="11"/>
      <c r="M17" s="11"/>
      <c r="N17" s="11"/>
    </row>
    <row r="18" spans="1:14" s="14" customFormat="1" ht="60" x14ac:dyDescent="0.25">
      <c r="A18" s="172"/>
      <c r="B18" s="172"/>
      <c r="C18" s="172"/>
      <c r="D18" s="172"/>
      <c r="E18" s="172"/>
      <c r="F18" s="172"/>
      <c r="G18" s="172"/>
      <c r="H18" s="2">
        <v>2</v>
      </c>
      <c r="I18" s="2" t="s">
        <v>910</v>
      </c>
      <c r="J18" s="2" t="s">
        <v>232</v>
      </c>
      <c r="K18" s="2" t="s">
        <v>5</v>
      </c>
      <c r="L18" s="11"/>
      <c r="M18" s="11"/>
      <c r="N18" s="11"/>
    </row>
    <row r="19" spans="1:14" s="14" customFormat="1" ht="45" x14ac:dyDescent="0.25">
      <c r="A19" s="172">
        <v>13</v>
      </c>
      <c r="B19" s="172" t="s">
        <v>58</v>
      </c>
      <c r="C19" s="172" t="s">
        <v>565</v>
      </c>
      <c r="D19" s="172">
        <v>8</v>
      </c>
      <c r="E19" s="172" t="s">
        <v>572</v>
      </c>
      <c r="F19" s="172" t="s">
        <v>567</v>
      </c>
      <c r="G19" s="172" t="s">
        <v>574</v>
      </c>
      <c r="H19" s="2">
        <v>1</v>
      </c>
      <c r="I19" s="2" t="s">
        <v>603</v>
      </c>
      <c r="J19" s="2" t="s">
        <v>617</v>
      </c>
      <c r="K19" s="2" t="s">
        <v>5</v>
      </c>
      <c r="L19" s="11"/>
      <c r="M19" s="11"/>
      <c r="N19" s="11"/>
    </row>
    <row r="20" spans="1:14" s="14" customFormat="1" ht="60" x14ac:dyDescent="0.25">
      <c r="A20" s="172"/>
      <c r="B20" s="172"/>
      <c r="C20" s="172"/>
      <c r="D20" s="172"/>
      <c r="E20" s="172"/>
      <c r="F20" s="172"/>
      <c r="G20" s="172"/>
      <c r="H20" s="2">
        <v>2</v>
      </c>
      <c r="I20" s="2" t="s">
        <v>910</v>
      </c>
      <c r="J20" s="2" t="s">
        <v>232</v>
      </c>
      <c r="K20" s="2" t="s">
        <v>5</v>
      </c>
      <c r="L20" s="11"/>
      <c r="M20" s="11"/>
      <c r="N20" s="11"/>
    </row>
    <row r="21" spans="1:14" s="14" customFormat="1" ht="45" x14ac:dyDescent="0.25">
      <c r="A21" s="172">
        <v>14</v>
      </c>
      <c r="B21" s="172" t="s">
        <v>59</v>
      </c>
      <c r="C21" s="172" t="s">
        <v>565</v>
      </c>
      <c r="D21" s="172">
        <v>8</v>
      </c>
      <c r="E21" s="172" t="s">
        <v>572</v>
      </c>
      <c r="F21" s="172" t="s">
        <v>567</v>
      </c>
      <c r="G21" s="172" t="s">
        <v>574</v>
      </c>
      <c r="H21" s="2">
        <v>1</v>
      </c>
      <c r="I21" s="2" t="s">
        <v>603</v>
      </c>
      <c r="J21" s="2" t="s">
        <v>617</v>
      </c>
      <c r="K21" s="2" t="s">
        <v>5</v>
      </c>
      <c r="L21" s="11"/>
      <c r="M21" s="11"/>
      <c r="N21" s="11"/>
    </row>
    <row r="22" spans="1:14" s="14" customFormat="1" ht="60" x14ac:dyDescent="0.25">
      <c r="A22" s="172"/>
      <c r="B22" s="172"/>
      <c r="C22" s="172"/>
      <c r="D22" s="172"/>
      <c r="E22" s="172"/>
      <c r="F22" s="172"/>
      <c r="G22" s="172"/>
      <c r="H22" s="2">
        <v>2</v>
      </c>
      <c r="I22" s="2" t="s">
        <v>910</v>
      </c>
      <c r="J22" s="2" t="s">
        <v>232</v>
      </c>
      <c r="K22" s="2" t="s">
        <v>5</v>
      </c>
      <c r="L22" s="11"/>
      <c r="M22" s="11"/>
      <c r="N22" s="11"/>
    </row>
    <row r="23" spans="1:14" s="14" customFormat="1" ht="45" x14ac:dyDescent="0.25">
      <c r="A23" s="172">
        <v>15</v>
      </c>
      <c r="B23" s="172" t="s">
        <v>60</v>
      </c>
      <c r="C23" s="172" t="s">
        <v>565</v>
      </c>
      <c r="D23" s="172">
        <v>8</v>
      </c>
      <c r="E23" s="172" t="s">
        <v>572</v>
      </c>
      <c r="F23" s="172" t="s">
        <v>567</v>
      </c>
      <c r="G23" s="172" t="s">
        <v>574</v>
      </c>
      <c r="H23" s="2">
        <v>1</v>
      </c>
      <c r="I23" s="2" t="s">
        <v>603</v>
      </c>
      <c r="J23" s="2" t="s">
        <v>617</v>
      </c>
      <c r="K23" s="2" t="s">
        <v>5</v>
      </c>
      <c r="L23" s="11"/>
      <c r="M23" s="11"/>
      <c r="N23" s="11"/>
    </row>
    <row r="24" spans="1:14" s="14" customFormat="1" ht="60" x14ac:dyDescent="0.25">
      <c r="A24" s="172"/>
      <c r="B24" s="172"/>
      <c r="C24" s="172"/>
      <c r="D24" s="172"/>
      <c r="E24" s="172"/>
      <c r="F24" s="172"/>
      <c r="G24" s="172"/>
      <c r="H24" s="2">
        <v>2</v>
      </c>
      <c r="I24" s="2" t="s">
        <v>910</v>
      </c>
      <c r="J24" s="2" t="s">
        <v>232</v>
      </c>
      <c r="K24" s="2" t="s">
        <v>5</v>
      </c>
      <c r="L24" s="11"/>
      <c r="M24" s="11"/>
      <c r="N24" s="11"/>
    </row>
    <row r="25" spans="1:14" s="14" customFormat="1" ht="45" x14ac:dyDescent="0.25">
      <c r="A25" s="172">
        <v>16</v>
      </c>
      <c r="B25" s="172" t="s">
        <v>61</v>
      </c>
      <c r="C25" s="172" t="s">
        <v>565</v>
      </c>
      <c r="D25" s="172">
        <v>8</v>
      </c>
      <c r="E25" s="172" t="s">
        <v>572</v>
      </c>
      <c r="F25" s="172" t="s">
        <v>567</v>
      </c>
      <c r="G25" s="172" t="s">
        <v>574</v>
      </c>
      <c r="H25" s="2">
        <v>1</v>
      </c>
      <c r="I25" s="2" t="s">
        <v>603</v>
      </c>
      <c r="J25" s="2" t="s">
        <v>617</v>
      </c>
      <c r="K25" s="2" t="s">
        <v>5</v>
      </c>
      <c r="L25" s="11"/>
      <c r="M25" s="11"/>
      <c r="N25" s="11"/>
    </row>
    <row r="26" spans="1:14" s="14" customFormat="1" ht="60" x14ac:dyDescent="0.25">
      <c r="A26" s="172"/>
      <c r="B26" s="172"/>
      <c r="C26" s="172"/>
      <c r="D26" s="172"/>
      <c r="E26" s="172"/>
      <c r="F26" s="172"/>
      <c r="G26" s="172"/>
      <c r="H26" s="2">
        <v>2</v>
      </c>
      <c r="I26" s="2" t="s">
        <v>910</v>
      </c>
      <c r="J26" s="2" t="s">
        <v>232</v>
      </c>
      <c r="K26" s="2" t="s">
        <v>5</v>
      </c>
      <c r="L26" s="11"/>
      <c r="M26" s="11"/>
      <c r="N26" s="11"/>
    </row>
    <row r="27" spans="1:14" s="4" customFormat="1" ht="30" x14ac:dyDescent="0.25">
      <c r="A27" s="2">
        <v>17</v>
      </c>
      <c r="B27" s="2" t="s">
        <v>62</v>
      </c>
      <c r="C27" s="2" t="s">
        <v>561</v>
      </c>
      <c r="D27" s="2">
        <v>1</v>
      </c>
      <c r="E27" s="2" t="s">
        <v>572</v>
      </c>
      <c r="F27" s="2" t="s">
        <v>568</v>
      </c>
      <c r="G27" s="2" t="s">
        <v>538</v>
      </c>
      <c r="H27" s="2">
        <v>1</v>
      </c>
      <c r="I27" s="2" t="s">
        <v>662</v>
      </c>
      <c r="J27" s="2" t="s">
        <v>617</v>
      </c>
      <c r="K27" s="2" t="s">
        <v>5</v>
      </c>
    </row>
    <row r="28" spans="1:14" s="13" customFormat="1" ht="31.2" x14ac:dyDescent="0.25">
      <c r="A28" s="88" t="s">
        <v>398</v>
      </c>
      <c r="B28" s="173" t="s">
        <v>63</v>
      </c>
      <c r="C28" s="173"/>
      <c r="D28" s="173"/>
      <c r="E28" s="173"/>
      <c r="F28" s="173"/>
      <c r="G28" s="173"/>
      <c r="H28" s="88">
        <v>1</v>
      </c>
      <c r="I28" s="88" t="str">
        <f>"Pelo menos um dos campos de "&amp;A28&amp;" deve ser preenchido com 1"</f>
        <v>Pelo menos um dos campos de 18 a 23 deve ser preenchido com 1</v>
      </c>
      <c r="J28" s="88" t="s">
        <v>617</v>
      </c>
      <c r="K28" s="88" t="s">
        <v>5</v>
      </c>
      <c r="L28" s="10"/>
      <c r="M28" s="10"/>
      <c r="N28" s="10"/>
    </row>
    <row r="29" spans="1:14" s="14" customFormat="1" ht="30" x14ac:dyDescent="0.25">
      <c r="A29" s="2">
        <v>18</v>
      </c>
      <c r="B29" s="2" t="s">
        <v>64</v>
      </c>
      <c r="C29" s="2" t="s">
        <v>561</v>
      </c>
      <c r="D29" s="2">
        <v>1</v>
      </c>
      <c r="E29" s="2" t="s">
        <v>572</v>
      </c>
      <c r="F29" s="2" t="s">
        <v>568</v>
      </c>
      <c r="G29" s="2" t="s">
        <v>538</v>
      </c>
      <c r="H29" s="2">
        <v>1</v>
      </c>
      <c r="I29" s="2" t="s">
        <v>662</v>
      </c>
      <c r="J29" s="2" t="s">
        <v>617</v>
      </c>
      <c r="K29" s="2" t="s">
        <v>5</v>
      </c>
      <c r="L29" s="11"/>
      <c r="M29" s="11"/>
      <c r="N29" s="11"/>
    </row>
    <row r="30" spans="1:14" s="14" customFormat="1" ht="30" x14ac:dyDescent="0.25">
      <c r="A30" s="2">
        <v>19</v>
      </c>
      <c r="B30" s="2" t="s">
        <v>65</v>
      </c>
      <c r="C30" s="2" t="s">
        <v>561</v>
      </c>
      <c r="D30" s="2">
        <v>1</v>
      </c>
      <c r="E30" s="2" t="s">
        <v>572</v>
      </c>
      <c r="F30" s="2" t="s">
        <v>568</v>
      </c>
      <c r="G30" s="2" t="s">
        <v>538</v>
      </c>
      <c r="H30" s="2">
        <v>1</v>
      </c>
      <c r="I30" s="2" t="s">
        <v>662</v>
      </c>
      <c r="J30" s="2" t="s">
        <v>617</v>
      </c>
      <c r="K30" s="2" t="s">
        <v>5</v>
      </c>
      <c r="L30" s="11"/>
      <c r="M30" s="11"/>
      <c r="N30" s="11"/>
    </row>
    <row r="31" spans="1:14" s="14" customFormat="1" ht="30" x14ac:dyDescent="0.25">
      <c r="A31" s="2">
        <v>20</v>
      </c>
      <c r="B31" s="2" t="s">
        <v>66</v>
      </c>
      <c r="C31" s="2" t="s">
        <v>561</v>
      </c>
      <c r="D31" s="2">
        <v>1</v>
      </c>
      <c r="E31" s="2" t="s">
        <v>572</v>
      </c>
      <c r="F31" s="2" t="s">
        <v>568</v>
      </c>
      <c r="G31" s="2" t="s">
        <v>538</v>
      </c>
      <c r="H31" s="2">
        <v>1</v>
      </c>
      <c r="I31" s="2" t="s">
        <v>662</v>
      </c>
      <c r="J31" s="2" t="s">
        <v>617</v>
      </c>
      <c r="K31" s="2" t="s">
        <v>5</v>
      </c>
      <c r="L31" s="11"/>
      <c r="M31" s="11"/>
      <c r="N31" s="11"/>
    </row>
    <row r="32" spans="1:14" s="14" customFormat="1" ht="30" x14ac:dyDescent="0.25">
      <c r="A32" s="2">
        <v>21</v>
      </c>
      <c r="B32" s="2" t="s">
        <v>67</v>
      </c>
      <c r="C32" s="2" t="s">
        <v>561</v>
      </c>
      <c r="D32" s="2">
        <v>1</v>
      </c>
      <c r="E32" s="2" t="s">
        <v>572</v>
      </c>
      <c r="F32" s="2" t="s">
        <v>568</v>
      </c>
      <c r="G32" s="2" t="s">
        <v>538</v>
      </c>
      <c r="H32" s="2">
        <v>1</v>
      </c>
      <c r="I32" s="2" t="s">
        <v>662</v>
      </c>
      <c r="J32" s="2" t="s">
        <v>617</v>
      </c>
      <c r="K32" s="2" t="s">
        <v>5</v>
      </c>
      <c r="L32" s="11"/>
      <c r="M32" s="11"/>
      <c r="N32" s="11"/>
    </row>
    <row r="33" spans="1:14" s="14" customFormat="1" ht="30" x14ac:dyDescent="0.25">
      <c r="A33" s="2">
        <v>22</v>
      </c>
      <c r="B33" s="2" t="s">
        <v>383</v>
      </c>
      <c r="C33" s="2" t="s">
        <v>561</v>
      </c>
      <c r="D33" s="2">
        <v>1</v>
      </c>
      <c r="E33" s="2" t="s">
        <v>572</v>
      </c>
      <c r="F33" s="2" t="s">
        <v>568</v>
      </c>
      <c r="G33" s="2" t="s">
        <v>538</v>
      </c>
      <c r="H33" s="2">
        <v>1</v>
      </c>
      <c r="I33" s="2" t="s">
        <v>662</v>
      </c>
      <c r="J33" s="2" t="s">
        <v>617</v>
      </c>
      <c r="K33" s="2" t="s">
        <v>5</v>
      </c>
      <c r="L33" s="11"/>
      <c r="M33" s="11"/>
      <c r="N33" s="11"/>
    </row>
    <row r="34" spans="1:14" s="14" customFormat="1" ht="30" x14ac:dyDescent="0.25">
      <c r="A34" s="172">
        <v>23</v>
      </c>
      <c r="B34" s="172" t="s">
        <v>68</v>
      </c>
      <c r="C34" s="172" t="s">
        <v>561</v>
      </c>
      <c r="D34" s="172">
        <v>1</v>
      </c>
      <c r="E34" s="172" t="s">
        <v>572</v>
      </c>
      <c r="F34" s="172" t="s">
        <v>568</v>
      </c>
      <c r="G34" s="2" t="s">
        <v>538</v>
      </c>
      <c r="H34" s="2">
        <v>1</v>
      </c>
      <c r="I34" s="2" t="s">
        <v>662</v>
      </c>
      <c r="J34" s="2" t="s">
        <v>617</v>
      </c>
      <c r="K34" s="2" t="s">
        <v>5</v>
      </c>
      <c r="L34" s="11"/>
      <c r="M34" s="11"/>
      <c r="N34" s="11"/>
    </row>
    <row r="35" spans="1:14" s="14" customFormat="1" ht="45" x14ac:dyDescent="0.25">
      <c r="A35" s="172"/>
      <c r="B35" s="172"/>
      <c r="C35" s="172"/>
      <c r="D35" s="172"/>
      <c r="E35" s="172"/>
      <c r="F35" s="172"/>
      <c r="G35" s="2" t="s">
        <v>538</v>
      </c>
      <c r="H35" s="2">
        <v>2</v>
      </c>
      <c r="I35" s="2" t="s">
        <v>1043</v>
      </c>
      <c r="J35" s="2" t="s">
        <v>617</v>
      </c>
      <c r="K35" s="2" t="s">
        <v>5</v>
      </c>
      <c r="L35" s="11"/>
      <c r="M35" s="11"/>
      <c r="N35" s="11"/>
    </row>
    <row r="36" spans="1:14" s="13" customFormat="1" ht="46.8" x14ac:dyDescent="0.25">
      <c r="A36" s="88" t="s">
        <v>399</v>
      </c>
      <c r="B36" s="173" t="s">
        <v>69</v>
      </c>
      <c r="C36" s="173"/>
      <c r="D36" s="173"/>
      <c r="E36" s="173"/>
      <c r="F36" s="173"/>
      <c r="G36" s="173"/>
      <c r="H36" s="88">
        <v>1</v>
      </c>
      <c r="I36" s="88" t="s">
        <v>627</v>
      </c>
      <c r="J36" s="88" t="s">
        <v>617</v>
      </c>
      <c r="K36" s="88" t="s">
        <v>5</v>
      </c>
      <c r="L36" s="10"/>
      <c r="M36" s="10"/>
      <c r="N36" s="10"/>
    </row>
    <row r="37" spans="1:14" s="14" customFormat="1" ht="30" x14ac:dyDescent="0.25">
      <c r="A37" s="2">
        <v>24</v>
      </c>
      <c r="B37" s="2" t="s">
        <v>64</v>
      </c>
      <c r="C37" s="2" t="s">
        <v>561</v>
      </c>
      <c r="D37" s="2">
        <v>1</v>
      </c>
      <c r="E37" s="2" t="s">
        <v>572</v>
      </c>
      <c r="F37" s="2" t="s">
        <v>568</v>
      </c>
      <c r="G37" s="2" t="s">
        <v>538</v>
      </c>
      <c r="H37" s="2">
        <v>1</v>
      </c>
      <c r="I37" s="2" t="s">
        <v>662</v>
      </c>
      <c r="J37" s="2" t="s">
        <v>617</v>
      </c>
      <c r="K37" s="2" t="s">
        <v>5</v>
      </c>
      <c r="L37" s="11"/>
      <c r="M37" s="11"/>
      <c r="N37" s="11"/>
    </row>
    <row r="38" spans="1:14" s="14" customFormat="1" ht="30" x14ac:dyDescent="0.25">
      <c r="A38" s="2">
        <v>25</v>
      </c>
      <c r="B38" s="2" t="s">
        <v>70</v>
      </c>
      <c r="C38" s="2" t="s">
        <v>561</v>
      </c>
      <c r="D38" s="2">
        <v>1</v>
      </c>
      <c r="E38" s="2" t="s">
        <v>572</v>
      </c>
      <c r="F38" s="2" t="s">
        <v>568</v>
      </c>
      <c r="G38" s="2" t="s">
        <v>538</v>
      </c>
      <c r="H38" s="2">
        <v>1</v>
      </c>
      <c r="I38" s="2" t="s">
        <v>662</v>
      </c>
      <c r="J38" s="2" t="s">
        <v>617</v>
      </c>
      <c r="K38" s="2" t="s">
        <v>5</v>
      </c>
      <c r="L38" s="11"/>
      <c r="M38" s="11"/>
      <c r="N38" s="11"/>
    </row>
    <row r="39" spans="1:14" s="14" customFormat="1" ht="45" x14ac:dyDescent="0.25">
      <c r="A39" s="2">
        <v>26</v>
      </c>
      <c r="B39" s="2" t="s">
        <v>71</v>
      </c>
      <c r="C39" s="2" t="s">
        <v>561</v>
      </c>
      <c r="D39" s="2">
        <v>1</v>
      </c>
      <c r="E39" s="2" t="s">
        <v>572</v>
      </c>
      <c r="F39" s="2" t="s">
        <v>568</v>
      </c>
      <c r="G39" s="2" t="s">
        <v>538</v>
      </c>
      <c r="H39" s="2">
        <v>1</v>
      </c>
      <c r="I39" s="2" t="s">
        <v>662</v>
      </c>
      <c r="J39" s="2" t="s">
        <v>617</v>
      </c>
      <c r="K39" s="2" t="s">
        <v>5</v>
      </c>
      <c r="L39" s="11"/>
      <c r="M39" s="11"/>
      <c r="N39" s="11"/>
    </row>
    <row r="40" spans="1:14" s="14" customFormat="1" ht="30" x14ac:dyDescent="0.25">
      <c r="A40" s="172">
        <v>27</v>
      </c>
      <c r="B40" s="172" t="s">
        <v>72</v>
      </c>
      <c r="C40" s="172" t="s">
        <v>561</v>
      </c>
      <c r="D40" s="172">
        <v>1</v>
      </c>
      <c r="E40" s="172" t="s">
        <v>572</v>
      </c>
      <c r="F40" s="172" t="s">
        <v>568</v>
      </c>
      <c r="G40" s="172" t="s">
        <v>538</v>
      </c>
      <c r="H40" s="2">
        <v>1</v>
      </c>
      <c r="I40" s="2" t="s">
        <v>662</v>
      </c>
      <c r="J40" s="2" t="s">
        <v>617</v>
      </c>
      <c r="K40" s="2" t="s">
        <v>5</v>
      </c>
      <c r="L40" s="11"/>
      <c r="M40" s="11"/>
      <c r="N40" s="11"/>
    </row>
    <row r="41" spans="1:14" s="14" customFormat="1" ht="45" x14ac:dyDescent="0.25">
      <c r="A41" s="172"/>
      <c r="B41" s="172"/>
      <c r="C41" s="172"/>
      <c r="D41" s="172"/>
      <c r="E41" s="172"/>
      <c r="F41" s="172"/>
      <c r="G41" s="172"/>
      <c r="H41" s="2">
        <v>2</v>
      </c>
      <c r="I41" s="2" t="s">
        <v>1043</v>
      </c>
      <c r="J41" s="2" t="s">
        <v>617</v>
      </c>
      <c r="K41" s="2" t="s">
        <v>5</v>
      </c>
      <c r="L41" s="11"/>
      <c r="M41" s="11"/>
      <c r="N41" s="11"/>
    </row>
    <row r="42" spans="1:14" s="14" customFormat="1" ht="31.2" x14ac:dyDescent="0.25">
      <c r="A42" s="88" t="s">
        <v>400</v>
      </c>
      <c r="B42" s="173" t="s">
        <v>73</v>
      </c>
      <c r="C42" s="173"/>
      <c r="D42" s="173"/>
      <c r="E42" s="173"/>
      <c r="F42" s="173"/>
      <c r="G42" s="173"/>
      <c r="H42" s="88">
        <v>1</v>
      </c>
      <c r="I42" s="88" t="str">
        <f>"Pelo menos um dos campos de "&amp;A42&amp;" deve ser preenchido com 1"</f>
        <v>Pelo menos um dos campos de 28 a 31 deve ser preenchido com 1</v>
      </c>
      <c r="J42" s="88" t="s">
        <v>617</v>
      </c>
      <c r="K42" s="88" t="s">
        <v>5</v>
      </c>
      <c r="L42" s="11"/>
      <c r="M42" s="11"/>
      <c r="N42" s="11"/>
    </row>
    <row r="43" spans="1:14" s="14" customFormat="1" ht="30" x14ac:dyDescent="0.25">
      <c r="A43" s="2">
        <v>28</v>
      </c>
      <c r="B43" s="2" t="s">
        <v>64</v>
      </c>
      <c r="C43" s="2" t="s">
        <v>561</v>
      </c>
      <c r="D43" s="2">
        <v>1</v>
      </c>
      <c r="E43" s="2" t="s">
        <v>572</v>
      </c>
      <c r="F43" s="2" t="s">
        <v>568</v>
      </c>
      <c r="G43" s="2" t="s">
        <v>538</v>
      </c>
      <c r="H43" s="2">
        <v>1</v>
      </c>
      <c r="I43" s="2" t="s">
        <v>662</v>
      </c>
      <c r="J43" s="2" t="s">
        <v>617</v>
      </c>
      <c r="K43" s="2" t="s">
        <v>5</v>
      </c>
      <c r="L43" s="11"/>
      <c r="M43" s="11"/>
      <c r="N43" s="11"/>
    </row>
    <row r="44" spans="1:14" s="14" customFormat="1" ht="30" x14ac:dyDescent="0.25">
      <c r="A44" s="2">
        <v>29</v>
      </c>
      <c r="B44" s="2" t="s">
        <v>74</v>
      </c>
      <c r="C44" s="2" t="s">
        <v>561</v>
      </c>
      <c r="D44" s="2">
        <v>1</v>
      </c>
      <c r="E44" s="2" t="s">
        <v>572</v>
      </c>
      <c r="F44" s="2" t="s">
        <v>568</v>
      </c>
      <c r="G44" s="2" t="s">
        <v>538</v>
      </c>
      <c r="H44" s="2">
        <v>1</v>
      </c>
      <c r="I44" s="2" t="s">
        <v>662</v>
      </c>
      <c r="J44" s="2" t="s">
        <v>617</v>
      </c>
      <c r="K44" s="2" t="s">
        <v>5</v>
      </c>
      <c r="L44" s="4"/>
      <c r="M44" s="4"/>
      <c r="N44" s="4"/>
    </row>
    <row r="45" spans="1:14" s="14" customFormat="1" ht="30" x14ac:dyDescent="0.25">
      <c r="A45" s="172">
        <v>30</v>
      </c>
      <c r="B45" s="172" t="s">
        <v>75</v>
      </c>
      <c r="C45" s="172" t="s">
        <v>561</v>
      </c>
      <c r="D45" s="172">
        <v>1</v>
      </c>
      <c r="E45" s="172" t="s">
        <v>572</v>
      </c>
      <c r="F45" s="172" t="s">
        <v>568</v>
      </c>
      <c r="G45" s="172" t="s">
        <v>538</v>
      </c>
      <c r="H45" s="2">
        <v>1</v>
      </c>
      <c r="I45" s="2" t="s">
        <v>662</v>
      </c>
      <c r="J45" s="2" t="s">
        <v>617</v>
      </c>
      <c r="K45" s="2" t="s">
        <v>5</v>
      </c>
      <c r="L45" s="11"/>
      <c r="M45" s="11"/>
      <c r="N45" s="11"/>
    </row>
    <row r="46" spans="1:14" s="14" customFormat="1" ht="30" x14ac:dyDescent="0.25">
      <c r="A46" s="172"/>
      <c r="B46" s="172"/>
      <c r="C46" s="172"/>
      <c r="D46" s="172"/>
      <c r="E46" s="172"/>
      <c r="F46" s="172"/>
      <c r="G46" s="172"/>
      <c r="H46" s="2">
        <v>2</v>
      </c>
      <c r="I46" s="2" t="s">
        <v>575</v>
      </c>
      <c r="J46" s="2" t="s">
        <v>617</v>
      </c>
      <c r="K46" s="2" t="s">
        <v>5</v>
      </c>
      <c r="L46" s="11"/>
      <c r="M46" s="11"/>
      <c r="N46" s="11"/>
    </row>
    <row r="47" spans="1:14" s="14" customFormat="1" ht="30" x14ac:dyDescent="0.25">
      <c r="A47" s="172">
        <v>31</v>
      </c>
      <c r="B47" s="172" t="s">
        <v>76</v>
      </c>
      <c r="C47" s="172" t="s">
        <v>561</v>
      </c>
      <c r="D47" s="172">
        <v>1</v>
      </c>
      <c r="E47" s="172" t="s">
        <v>572</v>
      </c>
      <c r="F47" s="172" t="s">
        <v>568</v>
      </c>
      <c r="G47" s="172" t="s">
        <v>538</v>
      </c>
      <c r="H47" s="2">
        <v>1</v>
      </c>
      <c r="I47" s="2" t="s">
        <v>662</v>
      </c>
      <c r="J47" s="2" t="s">
        <v>617</v>
      </c>
      <c r="K47" s="2" t="s">
        <v>5</v>
      </c>
      <c r="L47" s="11"/>
      <c r="M47" s="11"/>
      <c r="N47" s="11"/>
    </row>
    <row r="48" spans="1:14" s="14" customFormat="1" ht="60" x14ac:dyDescent="0.25">
      <c r="A48" s="172"/>
      <c r="B48" s="172"/>
      <c r="C48" s="172"/>
      <c r="D48" s="172"/>
      <c r="E48" s="172"/>
      <c r="F48" s="172"/>
      <c r="G48" s="172"/>
      <c r="H48" s="2">
        <v>2</v>
      </c>
      <c r="I48" s="2" t="s">
        <v>1045</v>
      </c>
      <c r="J48" s="2" t="s">
        <v>617</v>
      </c>
      <c r="K48" s="2" t="s">
        <v>5</v>
      </c>
      <c r="L48" s="11"/>
      <c r="M48" s="11"/>
      <c r="N48" s="11"/>
    </row>
    <row r="49" spans="1:14" s="14" customFormat="1" ht="31.2" x14ac:dyDescent="0.25">
      <c r="A49" s="88" t="s">
        <v>401</v>
      </c>
      <c r="B49" s="173" t="s">
        <v>77</v>
      </c>
      <c r="C49" s="173"/>
      <c r="D49" s="173"/>
      <c r="E49" s="173"/>
      <c r="F49" s="173"/>
      <c r="G49" s="173"/>
      <c r="H49" s="88">
        <v>1</v>
      </c>
      <c r="I49" s="88" t="str">
        <f>"Pelo menos um dos campos de "&amp;A49&amp;" deve ser preenchido com 1"</f>
        <v>Pelo menos um dos campos de 32 a 36 deve ser preenchido com 1</v>
      </c>
      <c r="J49" s="88" t="s">
        <v>617</v>
      </c>
      <c r="K49" s="88" t="s">
        <v>5</v>
      </c>
      <c r="L49" s="4"/>
      <c r="M49" s="4"/>
      <c r="N49" s="4"/>
    </row>
    <row r="50" spans="1:14" s="14" customFormat="1" ht="30" x14ac:dyDescent="0.25">
      <c r="A50" s="2">
        <v>32</v>
      </c>
      <c r="B50" s="2" t="s">
        <v>78</v>
      </c>
      <c r="C50" s="2" t="s">
        <v>561</v>
      </c>
      <c r="D50" s="2">
        <v>1</v>
      </c>
      <c r="E50" s="2" t="s">
        <v>572</v>
      </c>
      <c r="F50" s="2" t="s">
        <v>568</v>
      </c>
      <c r="G50" s="2" t="s">
        <v>538</v>
      </c>
      <c r="H50" s="2">
        <v>1</v>
      </c>
      <c r="I50" s="2" t="s">
        <v>662</v>
      </c>
      <c r="J50" s="2" t="s">
        <v>617</v>
      </c>
      <c r="K50" s="2" t="s">
        <v>5</v>
      </c>
      <c r="L50" s="4"/>
      <c r="M50" s="4"/>
      <c r="N50" s="4"/>
    </row>
    <row r="51" spans="1:14" s="14" customFormat="1" ht="30" x14ac:dyDescent="0.25">
      <c r="A51" s="2">
        <v>33</v>
      </c>
      <c r="B51" s="2" t="s">
        <v>79</v>
      </c>
      <c r="C51" s="2" t="s">
        <v>561</v>
      </c>
      <c r="D51" s="2">
        <v>1</v>
      </c>
      <c r="E51" s="2" t="s">
        <v>572</v>
      </c>
      <c r="F51" s="2" t="s">
        <v>568</v>
      </c>
      <c r="G51" s="2" t="s">
        <v>538</v>
      </c>
      <c r="H51" s="2">
        <v>1</v>
      </c>
      <c r="I51" s="2" t="s">
        <v>662</v>
      </c>
      <c r="J51" s="2" t="s">
        <v>617</v>
      </c>
      <c r="K51" s="2" t="s">
        <v>5</v>
      </c>
      <c r="L51" s="4"/>
      <c r="M51" s="4"/>
      <c r="N51" s="4"/>
    </row>
    <row r="52" spans="1:14" s="14" customFormat="1" ht="30" x14ac:dyDescent="0.25">
      <c r="A52" s="2">
        <v>34</v>
      </c>
      <c r="B52" s="2" t="s">
        <v>80</v>
      </c>
      <c r="C52" s="2" t="s">
        <v>561</v>
      </c>
      <c r="D52" s="2">
        <v>1</v>
      </c>
      <c r="E52" s="2" t="s">
        <v>572</v>
      </c>
      <c r="F52" s="2" t="s">
        <v>568</v>
      </c>
      <c r="G52" s="2" t="s">
        <v>538</v>
      </c>
      <c r="H52" s="2">
        <v>1</v>
      </c>
      <c r="I52" s="2" t="s">
        <v>662</v>
      </c>
      <c r="J52" s="2" t="s">
        <v>617</v>
      </c>
      <c r="K52" s="2" t="s">
        <v>5</v>
      </c>
      <c r="L52" s="4"/>
      <c r="M52" s="4"/>
      <c r="N52" s="4"/>
    </row>
    <row r="53" spans="1:14" s="14" customFormat="1" ht="30" x14ac:dyDescent="0.25">
      <c r="A53" s="2">
        <v>35</v>
      </c>
      <c r="B53" s="2" t="s">
        <v>81</v>
      </c>
      <c r="C53" s="2" t="s">
        <v>561</v>
      </c>
      <c r="D53" s="2">
        <v>1</v>
      </c>
      <c r="E53" s="2" t="s">
        <v>572</v>
      </c>
      <c r="F53" s="2" t="s">
        <v>568</v>
      </c>
      <c r="G53" s="2" t="s">
        <v>538</v>
      </c>
      <c r="H53" s="2">
        <v>1</v>
      </c>
      <c r="I53" s="2" t="s">
        <v>662</v>
      </c>
      <c r="J53" s="2" t="s">
        <v>617</v>
      </c>
      <c r="K53" s="2" t="s">
        <v>5</v>
      </c>
      <c r="L53" s="4"/>
      <c r="M53" s="4"/>
      <c r="N53" s="4"/>
    </row>
    <row r="54" spans="1:14" s="14" customFormat="1" ht="30" x14ac:dyDescent="0.25">
      <c r="A54" s="2">
        <v>36</v>
      </c>
      <c r="B54" s="2" t="s">
        <v>82</v>
      </c>
      <c r="C54" s="2" t="s">
        <v>561</v>
      </c>
      <c r="D54" s="2">
        <v>1</v>
      </c>
      <c r="E54" s="2" t="s">
        <v>572</v>
      </c>
      <c r="F54" s="2" t="s">
        <v>568</v>
      </c>
      <c r="G54" s="2" t="s">
        <v>538</v>
      </c>
      <c r="H54" s="2">
        <v>1</v>
      </c>
      <c r="I54" s="2" t="s">
        <v>662</v>
      </c>
      <c r="J54" s="2" t="s">
        <v>617</v>
      </c>
      <c r="K54" s="2" t="s">
        <v>5</v>
      </c>
      <c r="L54" s="11"/>
      <c r="M54" s="11"/>
      <c r="N54" s="11"/>
    </row>
    <row r="55" spans="1:14" s="13" customFormat="1" ht="31.2" x14ac:dyDescent="0.25">
      <c r="A55" s="88" t="s">
        <v>402</v>
      </c>
      <c r="B55" s="173" t="s">
        <v>83</v>
      </c>
      <c r="C55" s="173"/>
      <c r="D55" s="173"/>
      <c r="E55" s="173"/>
      <c r="F55" s="173"/>
      <c r="G55" s="173"/>
      <c r="H55" s="88">
        <v>1</v>
      </c>
      <c r="I55" s="88" t="str">
        <f>"Pelo menos um dos campos de "&amp;A55&amp;" deve ser preenchido com 1"</f>
        <v>Pelo menos um dos campos de 37 a 40 deve ser preenchido com 1</v>
      </c>
      <c r="J55" s="88" t="s">
        <v>617</v>
      </c>
      <c r="K55" s="88" t="s">
        <v>5</v>
      </c>
      <c r="L55" s="15"/>
      <c r="M55" s="15"/>
      <c r="N55" s="15"/>
    </row>
    <row r="56" spans="1:14" s="14" customFormat="1" ht="30" x14ac:dyDescent="0.25">
      <c r="A56" s="2">
        <v>37</v>
      </c>
      <c r="B56" s="2" t="s">
        <v>84</v>
      </c>
      <c r="C56" s="2" t="s">
        <v>561</v>
      </c>
      <c r="D56" s="2">
        <v>1</v>
      </c>
      <c r="E56" s="2" t="s">
        <v>572</v>
      </c>
      <c r="F56" s="2" t="s">
        <v>568</v>
      </c>
      <c r="G56" s="2" t="s">
        <v>538</v>
      </c>
      <c r="H56" s="2">
        <v>1</v>
      </c>
      <c r="I56" s="2" t="s">
        <v>662</v>
      </c>
      <c r="J56" s="2" t="s">
        <v>617</v>
      </c>
      <c r="K56" s="2" t="s">
        <v>5</v>
      </c>
      <c r="L56" s="4"/>
      <c r="M56" s="4"/>
      <c r="N56" s="4"/>
    </row>
    <row r="57" spans="1:14" s="14" customFormat="1" ht="30" x14ac:dyDescent="0.25">
      <c r="A57" s="2">
        <v>38</v>
      </c>
      <c r="B57" s="2" t="s">
        <v>85</v>
      </c>
      <c r="C57" s="2" t="s">
        <v>561</v>
      </c>
      <c r="D57" s="2">
        <v>1</v>
      </c>
      <c r="E57" s="2" t="s">
        <v>572</v>
      </c>
      <c r="F57" s="2" t="s">
        <v>568</v>
      </c>
      <c r="G57" s="2" t="s">
        <v>538</v>
      </c>
      <c r="H57" s="2">
        <v>1</v>
      </c>
      <c r="I57" s="2" t="s">
        <v>662</v>
      </c>
      <c r="J57" s="2" t="s">
        <v>617</v>
      </c>
      <c r="K57" s="2" t="s">
        <v>5</v>
      </c>
      <c r="L57" s="4"/>
      <c r="M57" s="4"/>
      <c r="N57" s="4"/>
    </row>
    <row r="58" spans="1:14" s="14" customFormat="1" ht="30" x14ac:dyDescent="0.25">
      <c r="A58" s="2">
        <v>39</v>
      </c>
      <c r="B58" s="2" t="s">
        <v>86</v>
      </c>
      <c r="C58" s="2" t="s">
        <v>561</v>
      </c>
      <c r="D58" s="2">
        <v>1</v>
      </c>
      <c r="E58" s="2" t="s">
        <v>572</v>
      </c>
      <c r="F58" s="2" t="s">
        <v>568</v>
      </c>
      <c r="G58" s="2" t="s">
        <v>538</v>
      </c>
      <c r="H58" s="2">
        <v>1</v>
      </c>
      <c r="I58" s="2" t="s">
        <v>662</v>
      </c>
      <c r="J58" s="2" t="s">
        <v>617</v>
      </c>
      <c r="K58" s="2" t="s">
        <v>5</v>
      </c>
      <c r="L58" s="4"/>
      <c r="M58" s="4"/>
      <c r="N58" s="4"/>
    </row>
    <row r="59" spans="1:14" s="14" customFormat="1" ht="30" x14ac:dyDescent="0.25">
      <c r="A59" s="2">
        <v>40</v>
      </c>
      <c r="B59" s="2" t="s">
        <v>87</v>
      </c>
      <c r="C59" s="2" t="s">
        <v>561</v>
      </c>
      <c r="D59" s="2">
        <v>1</v>
      </c>
      <c r="E59" s="2" t="s">
        <v>572</v>
      </c>
      <c r="F59" s="2" t="s">
        <v>568</v>
      </c>
      <c r="G59" s="2" t="s">
        <v>538</v>
      </c>
      <c r="H59" s="2">
        <v>1</v>
      </c>
      <c r="I59" s="2" t="s">
        <v>662</v>
      </c>
      <c r="J59" s="2" t="s">
        <v>617</v>
      </c>
      <c r="K59" s="2" t="s">
        <v>5</v>
      </c>
      <c r="L59" s="4"/>
      <c r="M59" s="4"/>
      <c r="N59" s="4"/>
    </row>
    <row r="60" spans="1:14" s="13" customFormat="1" ht="46.5" customHeight="1" x14ac:dyDescent="0.25">
      <c r="A60" s="88" t="s">
        <v>1040</v>
      </c>
      <c r="B60" s="173" t="s">
        <v>406</v>
      </c>
      <c r="C60" s="173"/>
      <c r="D60" s="173"/>
      <c r="E60" s="173"/>
      <c r="F60" s="173"/>
      <c r="G60" s="173"/>
      <c r="H60" s="2">
        <v>1</v>
      </c>
      <c r="I60" s="88" t="str">
        <f>"Pelo menos um dos campos de "&amp;A60&amp;" deve ser preenchido com 1"</f>
        <v>Pelo menos um dos campos de 41 a 80 deve ser preenchido com 1</v>
      </c>
      <c r="J60" s="88" t="s">
        <v>617</v>
      </c>
      <c r="K60" s="88" t="s">
        <v>5</v>
      </c>
      <c r="L60" s="15"/>
      <c r="M60" s="15"/>
      <c r="N60" s="15"/>
    </row>
    <row r="61" spans="1:14" s="14" customFormat="1" ht="30" x14ac:dyDescent="0.25">
      <c r="A61" s="2">
        <v>41</v>
      </c>
      <c r="B61" s="2" t="s">
        <v>88</v>
      </c>
      <c r="C61" s="2" t="s">
        <v>561</v>
      </c>
      <c r="D61" s="2">
        <v>1</v>
      </c>
      <c r="E61" s="2" t="s">
        <v>572</v>
      </c>
      <c r="F61" s="2" t="s">
        <v>568</v>
      </c>
      <c r="G61" s="2" t="s">
        <v>538</v>
      </c>
      <c r="H61" s="2">
        <v>1</v>
      </c>
      <c r="I61" s="2" t="s">
        <v>662</v>
      </c>
      <c r="J61" s="2" t="s">
        <v>617</v>
      </c>
      <c r="K61" s="2" t="s">
        <v>5</v>
      </c>
      <c r="L61" s="4"/>
      <c r="M61" s="4"/>
      <c r="N61" s="4"/>
    </row>
    <row r="62" spans="1:14" s="14" customFormat="1" ht="30" x14ac:dyDescent="0.25">
      <c r="A62" s="2">
        <v>42</v>
      </c>
      <c r="B62" s="2" t="s">
        <v>385</v>
      </c>
      <c r="C62" s="2" t="s">
        <v>561</v>
      </c>
      <c r="D62" s="2">
        <v>1</v>
      </c>
      <c r="E62" s="2" t="s">
        <v>572</v>
      </c>
      <c r="F62" s="2" t="s">
        <v>568</v>
      </c>
      <c r="G62" s="2" t="s">
        <v>538</v>
      </c>
      <c r="H62" s="2">
        <v>1</v>
      </c>
      <c r="I62" s="2" t="s">
        <v>662</v>
      </c>
      <c r="J62" s="2" t="s">
        <v>617</v>
      </c>
      <c r="K62" s="2" t="s">
        <v>5</v>
      </c>
      <c r="L62" s="4"/>
      <c r="M62" s="4"/>
      <c r="N62" s="4"/>
    </row>
    <row r="63" spans="1:14" s="14" customFormat="1" ht="30" x14ac:dyDescent="0.25">
      <c r="A63" s="2">
        <v>43</v>
      </c>
      <c r="B63" s="2" t="s">
        <v>89</v>
      </c>
      <c r="C63" s="2" t="s">
        <v>561</v>
      </c>
      <c r="D63" s="2">
        <v>1</v>
      </c>
      <c r="E63" s="2" t="s">
        <v>572</v>
      </c>
      <c r="F63" s="2" t="s">
        <v>568</v>
      </c>
      <c r="G63" s="2" t="s">
        <v>538</v>
      </c>
      <c r="H63" s="2">
        <v>1</v>
      </c>
      <c r="I63" s="2" t="s">
        <v>662</v>
      </c>
      <c r="J63" s="2" t="s">
        <v>617</v>
      </c>
      <c r="K63" s="2" t="s">
        <v>5</v>
      </c>
      <c r="L63" s="4"/>
      <c r="M63" s="4"/>
      <c r="N63" s="4"/>
    </row>
    <row r="64" spans="1:14" s="14" customFormat="1" ht="30" x14ac:dyDescent="0.25">
      <c r="A64" s="172">
        <v>44</v>
      </c>
      <c r="B64" s="172" t="s">
        <v>90</v>
      </c>
      <c r="C64" s="172" t="s">
        <v>561</v>
      </c>
      <c r="D64" s="172">
        <v>1</v>
      </c>
      <c r="E64" s="172" t="s">
        <v>572</v>
      </c>
      <c r="F64" s="172" t="s">
        <v>568</v>
      </c>
      <c r="G64" s="172" t="s">
        <v>538</v>
      </c>
      <c r="H64" s="2">
        <v>1</v>
      </c>
      <c r="I64" s="2" t="s">
        <v>662</v>
      </c>
      <c r="J64" s="2" t="s">
        <v>617</v>
      </c>
      <c r="K64" s="2" t="s">
        <v>5</v>
      </c>
      <c r="L64" s="4"/>
      <c r="M64" s="4"/>
      <c r="N64" s="4"/>
    </row>
    <row r="65" spans="1:14" s="14" customFormat="1" ht="105" x14ac:dyDescent="0.25">
      <c r="A65" s="172"/>
      <c r="B65" s="172"/>
      <c r="C65" s="172" t="s">
        <v>561</v>
      </c>
      <c r="D65" s="172">
        <v>1</v>
      </c>
      <c r="E65" s="172" t="s">
        <v>572</v>
      </c>
      <c r="F65" s="172" t="s">
        <v>568</v>
      </c>
      <c r="G65" s="172" t="s">
        <v>538</v>
      </c>
      <c r="H65" s="2">
        <v>2</v>
      </c>
      <c r="I65" s="2" t="s">
        <v>1041</v>
      </c>
      <c r="J65" s="2" t="s">
        <v>617</v>
      </c>
      <c r="K65" s="2" t="s">
        <v>5</v>
      </c>
      <c r="L65" s="4"/>
      <c r="M65" s="4"/>
      <c r="N65" s="4"/>
    </row>
    <row r="66" spans="1:14" s="14" customFormat="1" ht="45" x14ac:dyDescent="0.25">
      <c r="A66" s="2">
        <v>45</v>
      </c>
      <c r="B66" s="2" t="s">
        <v>91</v>
      </c>
      <c r="C66" s="2" t="s">
        <v>561</v>
      </c>
      <c r="D66" s="2">
        <v>1</v>
      </c>
      <c r="E66" s="2" t="s">
        <v>572</v>
      </c>
      <c r="F66" s="2" t="s">
        <v>568</v>
      </c>
      <c r="G66" s="2" t="s">
        <v>538</v>
      </c>
      <c r="H66" s="2">
        <v>1</v>
      </c>
      <c r="I66" s="2" t="s">
        <v>662</v>
      </c>
      <c r="J66" s="2" t="s">
        <v>617</v>
      </c>
      <c r="K66" s="2" t="s">
        <v>5</v>
      </c>
      <c r="L66" s="4"/>
      <c r="M66" s="4"/>
      <c r="N66" s="4"/>
    </row>
    <row r="67" spans="1:14" s="14" customFormat="1" ht="30" x14ac:dyDescent="0.25">
      <c r="A67" s="2">
        <v>46</v>
      </c>
      <c r="B67" s="2" t="s">
        <v>92</v>
      </c>
      <c r="C67" s="2" t="s">
        <v>561</v>
      </c>
      <c r="D67" s="2">
        <v>1</v>
      </c>
      <c r="E67" s="2" t="s">
        <v>572</v>
      </c>
      <c r="F67" s="2" t="s">
        <v>568</v>
      </c>
      <c r="G67" s="2" t="s">
        <v>538</v>
      </c>
      <c r="H67" s="2">
        <v>1</v>
      </c>
      <c r="I67" s="2" t="s">
        <v>662</v>
      </c>
      <c r="J67" s="2" t="s">
        <v>617</v>
      </c>
      <c r="K67" s="2" t="s">
        <v>5</v>
      </c>
      <c r="L67" s="4"/>
      <c r="M67" s="4"/>
      <c r="N67" s="4"/>
    </row>
    <row r="68" spans="1:14" s="14" customFormat="1" ht="30" x14ac:dyDescent="0.25">
      <c r="A68" s="2">
        <v>47</v>
      </c>
      <c r="B68" s="2" t="s">
        <v>93</v>
      </c>
      <c r="C68" s="2" t="s">
        <v>561</v>
      </c>
      <c r="D68" s="2">
        <v>1</v>
      </c>
      <c r="E68" s="2" t="s">
        <v>572</v>
      </c>
      <c r="F68" s="2" t="s">
        <v>568</v>
      </c>
      <c r="G68" s="2" t="s">
        <v>538</v>
      </c>
      <c r="H68" s="2">
        <v>1</v>
      </c>
      <c r="I68" s="2" t="s">
        <v>662</v>
      </c>
      <c r="J68" s="2" t="s">
        <v>617</v>
      </c>
      <c r="K68" s="2" t="s">
        <v>5</v>
      </c>
      <c r="L68" s="4"/>
      <c r="M68" s="4"/>
      <c r="N68" s="4"/>
    </row>
    <row r="69" spans="1:14" s="14" customFormat="1" ht="30" x14ac:dyDescent="0.25">
      <c r="A69" s="2">
        <v>48</v>
      </c>
      <c r="B69" s="2" t="s">
        <v>94</v>
      </c>
      <c r="C69" s="2" t="s">
        <v>561</v>
      </c>
      <c r="D69" s="2">
        <v>1</v>
      </c>
      <c r="E69" s="2" t="s">
        <v>572</v>
      </c>
      <c r="F69" s="2" t="s">
        <v>568</v>
      </c>
      <c r="G69" s="2" t="s">
        <v>538</v>
      </c>
      <c r="H69" s="2">
        <v>1</v>
      </c>
      <c r="I69" s="2" t="s">
        <v>662</v>
      </c>
      <c r="J69" s="2" t="s">
        <v>617</v>
      </c>
      <c r="K69" s="2" t="s">
        <v>5</v>
      </c>
      <c r="L69" s="4"/>
      <c r="M69" s="4"/>
      <c r="N69" s="4"/>
    </row>
    <row r="70" spans="1:14" s="14" customFormat="1" ht="30" x14ac:dyDescent="0.25">
      <c r="A70" s="2">
        <v>49</v>
      </c>
      <c r="B70" s="2" t="s">
        <v>95</v>
      </c>
      <c r="C70" s="2" t="s">
        <v>561</v>
      </c>
      <c r="D70" s="2">
        <v>1</v>
      </c>
      <c r="E70" s="2" t="s">
        <v>572</v>
      </c>
      <c r="F70" s="2" t="s">
        <v>568</v>
      </c>
      <c r="G70" s="2" t="s">
        <v>538</v>
      </c>
      <c r="H70" s="2">
        <v>1</v>
      </c>
      <c r="I70" s="2" t="s">
        <v>662</v>
      </c>
      <c r="J70" s="2" t="s">
        <v>617</v>
      </c>
      <c r="K70" s="2" t="s">
        <v>5</v>
      </c>
      <c r="L70" s="4"/>
      <c r="M70" s="4"/>
      <c r="N70" s="4"/>
    </row>
    <row r="71" spans="1:14" s="14" customFormat="1" ht="30" x14ac:dyDescent="0.25">
      <c r="A71" s="2">
        <v>50</v>
      </c>
      <c r="B71" s="2" t="s">
        <v>96</v>
      </c>
      <c r="C71" s="2" t="s">
        <v>561</v>
      </c>
      <c r="D71" s="2">
        <v>1</v>
      </c>
      <c r="E71" s="2" t="s">
        <v>572</v>
      </c>
      <c r="F71" s="2" t="s">
        <v>568</v>
      </c>
      <c r="G71" s="2" t="s">
        <v>538</v>
      </c>
      <c r="H71" s="2">
        <v>1</v>
      </c>
      <c r="I71" s="2" t="s">
        <v>662</v>
      </c>
      <c r="J71" s="2" t="s">
        <v>617</v>
      </c>
      <c r="K71" s="2" t="s">
        <v>5</v>
      </c>
      <c r="L71" s="4"/>
      <c r="M71" s="4"/>
      <c r="N71" s="4"/>
    </row>
    <row r="72" spans="1:14" s="14" customFormat="1" ht="30" x14ac:dyDescent="0.25">
      <c r="A72" s="2">
        <v>51</v>
      </c>
      <c r="B72" s="2" t="s">
        <v>97</v>
      </c>
      <c r="C72" s="2" t="s">
        <v>561</v>
      </c>
      <c r="D72" s="2">
        <v>1</v>
      </c>
      <c r="E72" s="2" t="s">
        <v>572</v>
      </c>
      <c r="F72" s="2" t="s">
        <v>568</v>
      </c>
      <c r="G72" s="2" t="s">
        <v>538</v>
      </c>
      <c r="H72" s="2">
        <v>1</v>
      </c>
      <c r="I72" s="2" t="s">
        <v>662</v>
      </c>
      <c r="J72" s="2" t="s">
        <v>617</v>
      </c>
      <c r="K72" s="2" t="s">
        <v>5</v>
      </c>
      <c r="L72" s="4"/>
      <c r="M72" s="4"/>
      <c r="N72" s="4"/>
    </row>
    <row r="73" spans="1:14" s="14" customFormat="1" ht="30" x14ac:dyDescent="0.25">
      <c r="A73" s="2">
        <v>52</v>
      </c>
      <c r="B73" s="2" t="s">
        <v>98</v>
      </c>
      <c r="C73" s="2" t="s">
        <v>561</v>
      </c>
      <c r="D73" s="2">
        <v>1</v>
      </c>
      <c r="E73" s="2" t="s">
        <v>572</v>
      </c>
      <c r="F73" s="2" t="s">
        <v>568</v>
      </c>
      <c r="G73" s="2" t="s">
        <v>538</v>
      </c>
      <c r="H73" s="2">
        <v>1</v>
      </c>
      <c r="I73" s="2" t="s">
        <v>662</v>
      </c>
      <c r="J73" s="2" t="s">
        <v>617</v>
      </c>
      <c r="K73" s="2" t="s">
        <v>5</v>
      </c>
      <c r="L73" s="4"/>
      <c r="M73" s="4"/>
      <c r="N73" s="4"/>
    </row>
    <row r="74" spans="1:14" s="14" customFormat="1" ht="30" x14ac:dyDescent="0.25">
      <c r="A74" s="2">
        <v>53</v>
      </c>
      <c r="B74" s="2" t="s">
        <v>99</v>
      </c>
      <c r="C74" s="2" t="s">
        <v>561</v>
      </c>
      <c r="D74" s="2">
        <v>1</v>
      </c>
      <c r="E74" s="2" t="s">
        <v>572</v>
      </c>
      <c r="F74" s="2" t="s">
        <v>568</v>
      </c>
      <c r="G74" s="2" t="s">
        <v>538</v>
      </c>
      <c r="H74" s="2">
        <v>1</v>
      </c>
      <c r="I74" s="2" t="s">
        <v>662</v>
      </c>
      <c r="J74" s="2" t="s">
        <v>617</v>
      </c>
      <c r="K74" s="2" t="s">
        <v>5</v>
      </c>
      <c r="L74" s="4"/>
      <c r="M74" s="4"/>
      <c r="N74" s="4"/>
    </row>
    <row r="75" spans="1:14" s="14" customFormat="1" ht="30" x14ac:dyDescent="0.25">
      <c r="A75" s="2">
        <v>54</v>
      </c>
      <c r="B75" s="2" t="s">
        <v>100</v>
      </c>
      <c r="C75" s="2" t="s">
        <v>561</v>
      </c>
      <c r="D75" s="2">
        <v>1</v>
      </c>
      <c r="E75" s="2" t="s">
        <v>572</v>
      </c>
      <c r="F75" s="2" t="s">
        <v>568</v>
      </c>
      <c r="G75" s="2" t="s">
        <v>538</v>
      </c>
      <c r="H75" s="2">
        <v>1</v>
      </c>
      <c r="I75" s="2" t="s">
        <v>662</v>
      </c>
      <c r="J75" s="2" t="s">
        <v>617</v>
      </c>
      <c r="K75" s="2" t="s">
        <v>5</v>
      </c>
      <c r="L75" s="4"/>
      <c r="M75" s="4"/>
      <c r="N75" s="4"/>
    </row>
    <row r="76" spans="1:14" s="14" customFormat="1" ht="30" x14ac:dyDescent="0.25">
      <c r="A76" s="2">
        <v>55</v>
      </c>
      <c r="B76" s="2" t="s">
        <v>101</v>
      </c>
      <c r="C76" s="2" t="s">
        <v>561</v>
      </c>
      <c r="D76" s="2">
        <v>1</v>
      </c>
      <c r="E76" s="2" t="s">
        <v>572</v>
      </c>
      <c r="F76" s="2" t="s">
        <v>568</v>
      </c>
      <c r="G76" s="2" t="s">
        <v>538</v>
      </c>
      <c r="H76" s="2">
        <v>1</v>
      </c>
      <c r="I76" s="2" t="s">
        <v>662</v>
      </c>
      <c r="J76" s="2" t="s">
        <v>617</v>
      </c>
      <c r="K76" s="2" t="s">
        <v>5</v>
      </c>
      <c r="L76" s="4"/>
      <c r="M76" s="4"/>
      <c r="N76" s="4"/>
    </row>
    <row r="77" spans="1:14" s="14" customFormat="1" ht="30" x14ac:dyDescent="0.25">
      <c r="A77" s="2">
        <v>56</v>
      </c>
      <c r="B77" s="2" t="s">
        <v>1111</v>
      </c>
      <c r="C77" s="2" t="s">
        <v>561</v>
      </c>
      <c r="D77" s="2">
        <v>1</v>
      </c>
      <c r="E77" s="2" t="s">
        <v>572</v>
      </c>
      <c r="F77" s="2" t="s">
        <v>568</v>
      </c>
      <c r="G77" s="2" t="s">
        <v>538</v>
      </c>
      <c r="H77" s="2">
        <v>1</v>
      </c>
      <c r="I77" s="2" t="s">
        <v>662</v>
      </c>
      <c r="J77" s="2" t="s">
        <v>617</v>
      </c>
      <c r="K77" s="2" t="s">
        <v>5</v>
      </c>
      <c r="L77" s="4"/>
      <c r="M77" s="4"/>
      <c r="N77" s="4"/>
    </row>
    <row r="78" spans="1:14" s="14" customFormat="1" ht="30" x14ac:dyDescent="0.25">
      <c r="A78" s="2">
        <v>57</v>
      </c>
      <c r="B78" s="2" t="s">
        <v>334</v>
      </c>
      <c r="C78" s="2" t="s">
        <v>561</v>
      </c>
      <c r="D78" s="2">
        <v>1</v>
      </c>
      <c r="E78" s="2" t="s">
        <v>572</v>
      </c>
      <c r="F78" s="2" t="s">
        <v>568</v>
      </c>
      <c r="G78" s="2" t="s">
        <v>538</v>
      </c>
      <c r="H78" s="2">
        <v>1</v>
      </c>
      <c r="I78" s="2" t="s">
        <v>662</v>
      </c>
      <c r="J78" s="2" t="s">
        <v>617</v>
      </c>
      <c r="K78" s="2" t="s">
        <v>5</v>
      </c>
      <c r="L78" s="4"/>
      <c r="M78" s="4"/>
      <c r="N78" s="4"/>
    </row>
    <row r="79" spans="1:14" s="14" customFormat="1" ht="30" x14ac:dyDescent="0.25">
      <c r="A79" s="2">
        <v>58</v>
      </c>
      <c r="B79" s="2" t="s">
        <v>102</v>
      </c>
      <c r="C79" s="2" t="s">
        <v>561</v>
      </c>
      <c r="D79" s="2">
        <v>1</v>
      </c>
      <c r="E79" s="2" t="s">
        <v>572</v>
      </c>
      <c r="F79" s="2" t="s">
        <v>568</v>
      </c>
      <c r="G79" s="2" t="s">
        <v>538</v>
      </c>
      <c r="H79" s="2">
        <v>1</v>
      </c>
      <c r="I79" s="2" t="s">
        <v>662</v>
      </c>
      <c r="J79" s="2" t="s">
        <v>617</v>
      </c>
      <c r="K79" s="2" t="s">
        <v>5</v>
      </c>
      <c r="L79" s="4"/>
      <c r="M79" s="4"/>
      <c r="N79" s="4"/>
    </row>
    <row r="80" spans="1:14" s="14" customFormat="1" ht="30" x14ac:dyDescent="0.25">
      <c r="A80" s="2">
        <v>59</v>
      </c>
      <c r="B80" s="2" t="s">
        <v>103</v>
      </c>
      <c r="C80" s="2" t="s">
        <v>561</v>
      </c>
      <c r="D80" s="2">
        <v>1</v>
      </c>
      <c r="E80" s="2" t="s">
        <v>572</v>
      </c>
      <c r="F80" s="2" t="s">
        <v>568</v>
      </c>
      <c r="G80" s="2" t="s">
        <v>538</v>
      </c>
      <c r="H80" s="2">
        <v>1</v>
      </c>
      <c r="I80" s="2" t="s">
        <v>662</v>
      </c>
      <c r="J80" s="2" t="s">
        <v>617</v>
      </c>
      <c r="K80" s="2" t="s">
        <v>5</v>
      </c>
      <c r="L80" s="4"/>
      <c r="M80" s="4"/>
      <c r="N80" s="4"/>
    </row>
    <row r="81" spans="1:14" s="14" customFormat="1" ht="30" x14ac:dyDescent="0.25">
      <c r="A81" s="2">
        <v>60</v>
      </c>
      <c r="B81" s="2" t="s">
        <v>104</v>
      </c>
      <c r="C81" s="2" t="s">
        <v>561</v>
      </c>
      <c r="D81" s="2">
        <v>1</v>
      </c>
      <c r="E81" s="2" t="s">
        <v>572</v>
      </c>
      <c r="F81" s="2" t="s">
        <v>568</v>
      </c>
      <c r="G81" s="2" t="s">
        <v>538</v>
      </c>
      <c r="H81" s="2">
        <v>1</v>
      </c>
      <c r="I81" s="2" t="s">
        <v>662</v>
      </c>
      <c r="J81" s="2" t="s">
        <v>617</v>
      </c>
      <c r="K81" s="2" t="s">
        <v>5</v>
      </c>
      <c r="L81" s="4"/>
      <c r="M81" s="4"/>
      <c r="N81" s="4"/>
    </row>
    <row r="82" spans="1:14" s="14" customFormat="1" ht="30" x14ac:dyDescent="0.25">
      <c r="A82" s="2">
        <v>61</v>
      </c>
      <c r="B82" s="2" t="s">
        <v>105</v>
      </c>
      <c r="C82" s="2" t="s">
        <v>561</v>
      </c>
      <c r="D82" s="2">
        <v>1</v>
      </c>
      <c r="E82" s="2" t="s">
        <v>572</v>
      </c>
      <c r="F82" s="2" t="s">
        <v>568</v>
      </c>
      <c r="G82" s="2" t="s">
        <v>538</v>
      </c>
      <c r="H82" s="2">
        <v>1</v>
      </c>
      <c r="I82" s="2" t="s">
        <v>662</v>
      </c>
      <c r="J82" s="2" t="s">
        <v>617</v>
      </c>
      <c r="K82" s="2" t="s">
        <v>5</v>
      </c>
      <c r="L82" s="4"/>
      <c r="M82" s="4"/>
      <c r="N82" s="4"/>
    </row>
    <row r="83" spans="1:14" s="14" customFormat="1" ht="30" x14ac:dyDescent="0.25">
      <c r="A83" s="2">
        <v>62</v>
      </c>
      <c r="B83" s="2" t="s">
        <v>106</v>
      </c>
      <c r="C83" s="2" t="s">
        <v>561</v>
      </c>
      <c r="D83" s="2">
        <v>1</v>
      </c>
      <c r="E83" s="2" t="s">
        <v>572</v>
      </c>
      <c r="F83" s="2" t="s">
        <v>568</v>
      </c>
      <c r="G83" s="2" t="s">
        <v>538</v>
      </c>
      <c r="H83" s="2">
        <v>1</v>
      </c>
      <c r="I83" s="2" t="s">
        <v>662</v>
      </c>
      <c r="J83" s="2" t="s">
        <v>617</v>
      </c>
      <c r="K83" s="2" t="s">
        <v>5</v>
      </c>
      <c r="L83" s="4"/>
      <c r="M83" s="4"/>
      <c r="N83" s="4"/>
    </row>
    <row r="84" spans="1:14" s="14" customFormat="1" ht="30" x14ac:dyDescent="0.25">
      <c r="A84" s="2">
        <v>63</v>
      </c>
      <c r="B84" s="2" t="s">
        <v>107</v>
      </c>
      <c r="C84" s="2" t="s">
        <v>561</v>
      </c>
      <c r="D84" s="2">
        <v>1</v>
      </c>
      <c r="E84" s="2" t="s">
        <v>572</v>
      </c>
      <c r="F84" s="2" t="s">
        <v>568</v>
      </c>
      <c r="G84" s="2" t="s">
        <v>538</v>
      </c>
      <c r="H84" s="2">
        <v>1</v>
      </c>
      <c r="I84" s="2" t="s">
        <v>662</v>
      </c>
      <c r="J84" s="2" t="s">
        <v>617</v>
      </c>
      <c r="K84" s="2" t="s">
        <v>5</v>
      </c>
      <c r="L84" s="4"/>
      <c r="M84" s="4"/>
      <c r="N84" s="4"/>
    </row>
    <row r="85" spans="1:14" s="14" customFormat="1" ht="30" x14ac:dyDescent="0.25">
      <c r="A85" s="2">
        <v>64</v>
      </c>
      <c r="B85" s="2" t="s">
        <v>108</v>
      </c>
      <c r="C85" s="2" t="s">
        <v>561</v>
      </c>
      <c r="D85" s="2">
        <v>1</v>
      </c>
      <c r="E85" s="2" t="s">
        <v>572</v>
      </c>
      <c r="F85" s="2" t="s">
        <v>568</v>
      </c>
      <c r="G85" s="2" t="s">
        <v>538</v>
      </c>
      <c r="H85" s="2">
        <v>1</v>
      </c>
      <c r="I85" s="2" t="s">
        <v>662</v>
      </c>
      <c r="J85" s="2" t="s">
        <v>617</v>
      </c>
      <c r="K85" s="2" t="s">
        <v>5</v>
      </c>
      <c r="L85" s="4"/>
      <c r="M85" s="4"/>
      <c r="N85" s="4"/>
    </row>
    <row r="86" spans="1:14" s="14" customFormat="1" ht="30" x14ac:dyDescent="0.25">
      <c r="A86" s="2">
        <v>65</v>
      </c>
      <c r="B86" s="2" t="s">
        <v>109</v>
      </c>
      <c r="C86" s="2" t="s">
        <v>561</v>
      </c>
      <c r="D86" s="2">
        <v>1</v>
      </c>
      <c r="E86" s="2" t="s">
        <v>572</v>
      </c>
      <c r="F86" s="2" t="s">
        <v>568</v>
      </c>
      <c r="G86" s="2" t="s">
        <v>538</v>
      </c>
      <c r="H86" s="2">
        <v>1</v>
      </c>
      <c r="I86" s="2" t="s">
        <v>662</v>
      </c>
      <c r="J86" s="2" t="s">
        <v>617</v>
      </c>
      <c r="K86" s="2" t="s">
        <v>5</v>
      </c>
      <c r="L86" s="4"/>
      <c r="M86" s="4"/>
      <c r="N86" s="4"/>
    </row>
    <row r="87" spans="1:14" s="14" customFormat="1" ht="30" x14ac:dyDescent="0.25">
      <c r="A87" s="2">
        <v>66</v>
      </c>
      <c r="B87" s="2" t="s">
        <v>110</v>
      </c>
      <c r="C87" s="2" t="s">
        <v>561</v>
      </c>
      <c r="D87" s="2">
        <v>1</v>
      </c>
      <c r="E87" s="2" t="s">
        <v>572</v>
      </c>
      <c r="F87" s="2" t="s">
        <v>568</v>
      </c>
      <c r="G87" s="2" t="s">
        <v>538</v>
      </c>
      <c r="H87" s="2">
        <v>1</v>
      </c>
      <c r="I87" s="2" t="s">
        <v>662</v>
      </c>
      <c r="J87" s="2" t="s">
        <v>617</v>
      </c>
      <c r="K87" s="2" t="s">
        <v>5</v>
      </c>
      <c r="L87" s="4"/>
      <c r="M87" s="4"/>
      <c r="N87" s="4"/>
    </row>
    <row r="88" spans="1:14" s="14" customFormat="1" ht="30" x14ac:dyDescent="0.25">
      <c r="A88" s="2">
        <v>67</v>
      </c>
      <c r="B88" s="2" t="s">
        <v>111</v>
      </c>
      <c r="C88" s="2" t="s">
        <v>561</v>
      </c>
      <c r="D88" s="2">
        <v>1</v>
      </c>
      <c r="E88" s="2" t="s">
        <v>572</v>
      </c>
      <c r="F88" s="2" t="s">
        <v>568</v>
      </c>
      <c r="G88" s="2" t="s">
        <v>538</v>
      </c>
      <c r="H88" s="2">
        <v>1</v>
      </c>
      <c r="I88" s="2" t="s">
        <v>662</v>
      </c>
      <c r="J88" s="2" t="s">
        <v>617</v>
      </c>
      <c r="K88" s="2" t="s">
        <v>5</v>
      </c>
      <c r="L88" s="4"/>
      <c r="M88" s="4"/>
      <c r="N88" s="4"/>
    </row>
    <row r="89" spans="1:14" s="14" customFormat="1" ht="30" x14ac:dyDescent="0.25">
      <c r="A89" s="2">
        <v>68</v>
      </c>
      <c r="B89" s="2" t="s">
        <v>112</v>
      </c>
      <c r="C89" s="2" t="s">
        <v>561</v>
      </c>
      <c r="D89" s="2">
        <v>1</v>
      </c>
      <c r="E89" s="2" t="s">
        <v>572</v>
      </c>
      <c r="F89" s="2" t="s">
        <v>568</v>
      </c>
      <c r="G89" s="2" t="s">
        <v>538</v>
      </c>
      <c r="H89" s="2">
        <v>1</v>
      </c>
      <c r="I89" s="2" t="s">
        <v>662</v>
      </c>
      <c r="J89" s="2" t="s">
        <v>617</v>
      </c>
      <c r="K89" s="2" t="s">
        <v>5</v>
      </c>
      <c r="L89" s="4"/>
      <c r="M89" s="4"/>
      <c r="N89" s="4"/>
    </row>
    <row r="90" spans="1:14" s="14" customFormat="1" ht="30" x14ac:dyDescent="0.25">
      <c r="A90" s="2">
        <v>69</v>
      </c>
      <c r="B90" s="2" t="s">
        <v>113</v>
      </c>
      <c r="C90" s="2" t="s">
        <v>561</v>
      </c>
      <c r="D90" s="2">
        <v>1</v>
      </c>
      <c r="E90" s="2" t="s">
        <v>572</v>
      </c>
      <c r="F90" s="2" t="s">
        <v>568</v>
      </c>
      <c r="G90" s="2" t="s">
        <v>538</v>
      </c>
      <c r="H90" s="2">
        <v>1</v>
      </c>
      <c r="I90" s="2" t="s">
        <v>662</v>
      </c>
      <c r="J90" s="2" t="s">
        <v>617</v>
      </c>
      <c r="K90" s="2" t="s">
        <v>5</v>
      </c>
      <c r="L90" s="4"/>
      <c r="M90" s="4"/>
      <c r="N90" s="4"/>
    </row>
    <row r="91" spans="1:14" s="14" customFormat="1" ht="45" x14ac:dyDescent="0.25">
      <c r="A91" s="2">
        <v>70</v>
      </c>
      <c r="B91" s="2" t="s">
        <v>114</v>
      </c>
      <c r="C91" s="2" t="s">
        <v>561</v>
      </c>
      <c r="D91" s="2">
        <v>1</v>
      </c>
      <c r="E91" s="2" t="s">
        <v>572</v>
      </c>
      <c r="F91" s="2" t="s">
        <v>568</v>
      </c>
      <c r="G91" s="2" t="s">
        <v>538</v>
      </c>
      <c r="H91" s="2">
        <v>1</v>
      </c>
      <c r="I91" s="2" t="s">
        <v>662</v>
      </c>
      <c r="J91" s="2" t="s">
        <v>617</v>
      </c>
      <c r="K91" s="2" t="s">
        <v>5</v>
      </c>
      <c r="L91" s="4"/>
      <c r="M91" s="4"/>
      <c r="N91" s="4"/>
    </row>
    <row r="92" spans="1:14" s="14" customFormat="1" ht="30" x14ac:dyDescent="0.25">
      <c r="A92" s="2">
        <v>71</v>
      </c>
      <c r="B92" s="2" t="s">
        <v>115</v>
      </c>
      <c r="C92" s="2" t="s">
        <v>561</v>
      </c>
      <c r="D92" s="2">
        <v>1</v>
      </c>
      <c r="E92" s="2" t="s">
        <v>572</v>
      </c>
      <c r="F92" s="2" t="s">
        <v>568</v>
      </c>
      <c r="G92" s="2" t="s">
        <v>538</v>
      </c>
      <c r="H92" s="2">
        <v>1</v>
      </c>
      <c r="I92" s="2" t="s">
        <v>662</v>
      </c>
      <c r="J92" s="2" t="s">
        <v>617</v>
      </c>
      <c r="K92" s="2" t="s">
        <v>5</v>
      </c>
      <c r="L92" s="4"/>
      <c r="M92" s="4"/>
      <c r="N92" s="4"/>
    </row>
    <row r="93" spans="1:14" s="14" customFormat="1" ht="30" x14ac:dyDescent="0.25">
      <c r="A93" s="2">
        <v>72</v>
      </c>
      <c r="B93" s="2" t="s">
        <v>116</v>
      </c>
      <c r="C93" s="2" t="s">
        <v>561</v>
      </c>
      <c r="D93" s="2">
        <v>1</v>
      </c>
      <c r="E93" s="2" t="s">
        <v>572</v>
      </c>
      <c r="F93" s="2" t="s">
        <v>568</v>
      </c>
      <c r="G93" s="2" t="s">
        <v>538</v>
      </c>
      <c r="H93" s="2">
        <v>1</v>
      </c>
      <c r="I93" s="2" t="s">
        <v>662</v>
      </c>
      <c r="J93" s="2" t="s">
        <v>617</v>
      </c>
      <c r="K93" s="2" t="s">
        <v>5</v>
      </c>
      <c r="L93" s="4"/>
      <c r="M93" s="4"/>
      <c r="N93" s="4"/>
    </row>
    <row r="94" spans="1:14" s="14" customFormat="1" ht="30" x14ac:dyDescent="0.25">
      <c r="A94" s="2">
        <v>73</v>
      </c>
      <c r="B94" s="2" t="s">
        <v>407</v>
      </c>
      <c r="C94" s="2" t="s">
        <v>561</v>
      </c>
      <c r="D94" s="2">
        <v>1</v>
      </c>
      <c r="E94" s="2" t="s">
        <v>572</v>
      </c>
      <c r="F94" s="2" t="s">
        <v>568</v>
      </c>
      <c r="G94" s="2" t="s">
        <v>538</v>
      </c>
      <c r="H94" s="2">
        <v>1</v>
      </c>
      <c r="I94" s="2" t="s">
        <v>662</v>
      </c>
      <c r="J94" s="2" t="s">
        <v>617</v>
      </c>
      <c r="K94" s="2" t="s">
        <v>5</v>
      </c>
      <c r="L94" s="4"/>
      <c r="M94" s="4"/>
      <c r="N94" s="4"/>
    </row>
    <row r="95" spans="1:14" s="14" customFormat="1" ht="30" x14ac:dyDescent="0.25">
      <c r="A95" s="2">
        <v>74</v>
      </c>
      <c r="B95" s="2" t="s">
        <v>117</v>
      </c>
      <c r="C95" s="2" t="s">
        <v>561</v>
      </c>
      <c r="D95" s="2">
        <v>1</v>
      </c>
      <c r="E95" s="2" t="s">
        <v>572</v>
      </c>
      <c r="F95" s="2" t="s">
        <v>568</v>
      </c>
      <c r="G95" s="2" t="s">
        <v>538</v>
      </c>
      <c r="H95" s="2">
        <v>1</v>
      </c>
      <c r="I95" s="2" t="s">
        <v>662</v>
      </c>
      <c r="J95" s="2" t="s">
        <v>617</v>
      </c>
      <c r="K95" s="2" t="s">
        <v>5</v>
      </c>
      <c r="L95" s="4"/>
      <c r="M95" s="4"/>
      <c r="N95" s="4"/>
    </row>
    <row r="96" spans="1:14" s="14" customFormat="1" ht="45" x14ac:dyDescent="0.25">
      <c r="A96" s="2">
        <v>75</v>
      </c>
      <c r="B96" s="2" t="s">
        <v>310</v>
      </c>
      <c r="C96" s="2" t="s">
        <v>561</v>
      </c>
      <c r="D96" s="2">
        <v>1</v>
      </c>
      <c r="E96" s="2" t="s">
        <v>572</v>
      </c>
      <c r="F96" s="2" t="s">
        <v>568</v>
      </c>
      <c r="G96" s="2" t="s">
        <v>538</v>
      </c>
      <c r="H96" s="2">
        <v>1</v>
      </c>
      <c r="I96" s="2" t="s">
        <v>662</v>
      </c>
      <c r="J96" s="2" t="s">
        <v>617</v>
      </c>
      <c r="K96" s="2" t="s">
        <v>5</v>
      </c>
      <c r="L96" s="4"/>
      <c r="M96" s="4"/>
      <c r="N96" s="4"/>
    </row>
    <row r="97" spans="1:14" s="14" customFormat="1" ht="30" x14ac:dyDescent="0.25">
      <c r="A97" s="2">
        <v>76</v>
      </c>
      <c r="B97" s="2" t="s">
        <v>408</v>
      </c>
      <c r="C97" s="2" t="s">
        <v>561</v>
      </c>
      <c r="D97" s="2">
        <v>1</v>
      </c>
      <c r="E97" s="2" t="s">
        <v>572</v>
      </c>
      <c r="F97" s="2" t="s">
        <v>568</v>
      </c>
      <c r="G97" s="2" t="s">
        <v>538</v>
      </c>
      <c r="H97" s="2">
        <v>1</v>
      </c>
      <c r="I97" s="2" t="s">
        <v>662</v>
      </c>
      <c r="J97" s="2" t="s">
        <v>617</v>
      </c>
      <c r="K97" s="2" t="s">
        <v>5</v>
      </c>
      <c r="L97" s="4"/>
      <c r="M97" s="4"/>
      <c r="N97" s="4"/>
    </row>
    <row r="98" spans="1:14" s="14" customFormat="1" ht="30" x14ac:dyDescent="0.25">
      <c r="A98" s="2">
        <v>77</v>
      </c>
      <c r="B98" s="2" t="s">
        <v>335</v>
      </c>
      <c r="C98" s="2" t="s">
        <v>561</v>
      </c>
      <c r="D98" s="2">
        <v>1</v>
      </c>
      <c r="E98" s="2" t="s">
        <v>572</v>
      </c>
      <c r="F98" s="2" t="s">
        <v>568</v>
      </c>
      <c r="G98" s="2" t="s">
        <v>538</v>
      </c>
      <c r="H98" s="2">
        <v>1</v>
      </c>
      <c r="I98" s="2" t="s">
        <v>662</v>
      </c>
      <c r="J98" s="2" t="s">
        <v>617</v>
      </c>
      <c r="K98" s="2" t="s">
        <v>5</v>
      </c>
      <c r="L98" s="4"/>
      <c r="M98" s="4"/>
      <c r="N98" s="4"/>
    </row>
    <row r="99" spans="1:14" s="14" customFormat="1" ht="30" x14ac:dyDescent="0.25">
      <c r="A99" s="2">
        <v>78</v>
      </c>
      <c r="B99" s="2" t="s">
        <v>373</v>
      </c>
      <c r="C99" s="2" t="s">
        <v>561</v>
      </c>
      <c r="D99" s="2">
        <v>1</v>
      </c>
      <c r="E99" s="2" t="s">
        <v>572</v>
      </c>
      <c r="F99" s="2" t="s">
        <v>568</v>
      </c>
      <c r="G99" s="2" t="s">
        <v>538</v>
      </c>
      <c r="H99" s="2">
        <v>1</v>
      </c>
      <c r="I99" s="2" t="s">
        <v>662</v>
      </c>
      <c r="J99" s="2" t="s">
        <v>617</v>
      </c>
      <c r="K99" s="2" t="s">
        <v>5</v>
      </c>
      <c r="L99" s="4"/>
      <c r="M99" s="4"/>
      <c r="N99" s="4"/>
    </row>
    <row r="100" spans="1:14" s="14" customFormat="1" ht="30" x14ac:dyDescent="0.25">
      <c r="A100" s="2">
        <v>79</v>
      </c>
      <c r="B100" s="2" t="s">
        <v>384</v>
      </c>
      <c r="C100" s="2" t="s">
        <v>561</v>
      </c>
      <c r="D100" s="2">
        <v>1</v>
      </c>
      <c r="E100" s="2" t="s">
        <v>572</v>
      </c>
      <c r="F100" s="2" t="s">
        <v>568</v>
      </c>
      <c r="G100" s="2" t="s">
        <v>538</v>
      </c>
      <c r="H100" s="2">
        <v>1</v>
      </c>
      <c r="I100" s="2" t="s">
        <v>662</v>
      </c>
      <c r="J100" s="2" t="s">
        <v>617</v>
      </c>
      <c r="K100" s="2" t="s">
        <v>5</v>
      </c>
      <c r="L100" s="4"/>
      <c r="M100" s="4"/>
      <c r="N100" s="4"/>
    </row>
    <row r="101" spans="1:14" s="14" customFormat="1" ht="30" x14ac:dyDescent="0.25">
      <c r="A101" s="172">
        <v>80</v>
      </c>
      <c r="B101" s="172" t="s">
        <v>118</v>
      </c>
      <c r="C101" s="172" t="s">
        <v>561</v>
      </c>
      <c r="D101" s="172">
        <v>1</v>
      </c>
      <c r="E101" s="172" t="s">
        <v>572</v>
      </c>
      <c r="F101" s="172" t="s">
        <v>568</v>
      </c>
      <c r="G101" s="172" t="s">
        <v>538</v>
      </c>
      <c r="H101" s="2">
        <v>1</v>
      </c>
      <c r="I101" s="2" t="s">
        <v>662</v>
      </c>
      <c r="J101" s="2" t="s">
        <v>617</v>
      </c>
      <c r="K101" s="2" t="s">
        <v>5</v>
      </c>
      <c r="L101" s="4"/>
      <c r="M101" s="4"/>
      <c r="N101" s="4"/>
    </row>
    <row r="102" spans="1:14" s="14" customFormat="1" ht="45" x14ac:dyDescent="0.25">
      <c r="A102" s="172"/>
      <c r="B102" s="172"/>
      <c r="C102" s="172" t="s">
        <v>561</v>
      </c>
      <c r="D102" s="172">
        <v>1</v>
      </c>
      <c r="E102" s="172" t="s">
        <v>572</v>
      </c>
      <c r="F102" s="172" t="s">
        <v>568</v>
      </c>
      <c r="G102" s="172" t="s">
        <v>538</v>
      </c>
      <c r="H102" s="2">
        <v>2</v>
      </c>
      <c r="I102" s="2" t="s">
        <v>1043</v>
      </c>
      <c r="J102" s="2" t="s">
        <v>617</v>
      </c>
      <c r="K102" s="2" t="s">
        <v>5</v>
      </c>
      <c r="L102" s="4"/>
      <c r="M102" s="4"/>
      <c r="N102" s="4"/>
    </row>
    <row r="103" spans="1:14" s="13" customFormat="1" ht="31.2" x14ac:dyDescent="0.25">
      <c r="A103" s="88" t="s">
        <v>1033</v>
      </c>
      <c r="B103" s="173" t="s">
        <v>119</v>
      </c>
      <c r="C103" s="173"/>
      <c r="D103" s="173"/>
      <c r="E103" s="173"/>
      <c r="F103" s="173"/>
      <c r="G103" s="173"/>
      <c r="H103" s="88">
        <v>1</v>
      </c>
      <c r="I103" s="88" t="str">
        <f>"Pelo menos um dos campos de "&amp;A103&amp;" deve ser preenchido com 1"</f>
        <v>Pelo menos um dos campos de 81 a 90 deve ser preenchido com 1</v>
      </c>
      <c r="J103" s="88" t="s">
        <v>617</v>
      </c>
      <c r="K103" s="88" t="s">
        <v>5</v>
      </c>
      <c r="L103" s="15"/>
      <c r="M103" s="15"/>
      <c r="N103" s="15"/>
    </row>
    <row r="104" spans="1:14" s="14" customFormat="1" ht="30" x14ac:dyDescent="0.25">
      <c r="A104" s="2">
        <v>81</v>
      </c>
      <c r="B104" s="2" t="s">
        <v>120</v>
      </c>
      <c r="C104" s="2" t="s">
        <v>561</v>
      </c>
      <c r="D104" s="2">
        <v>1</v>
      </c>
      <c r="E104" s="2" t="s">
        <v>572</v>
      </c>
      <c r="F104" s="2" t="s">
        <v>568</v>
      </c>
      <c r="G104" s="2" t="s">
        <v>538</v>
      </c>
      <c r="H104" s="2">
        <v>1</v>
      </c>
      <c r="I104" s="2" t="s">
        <v>662</v>
      </c>
      <c r="J104" s="2" t="s">
        <v>617</v>
      </c>
      <c r="K104" s="2" t="s">
        <v>5</v>
      </c>
      <c r="L104" s="4"/>
      <c r="M104" s="4"/>
      <c r="N104" s="4"/>
    </row>
    <row r="105" spans="1:14" s="14" customFormat="1" ht="30" x14ac:dyDescent="0.25">
      <c r="A105" s="2">
        <v>82</v>
      </c>
      <c r="B105" s="2" t="s">
        <v>121</v>
      </c>
      <c r="C105" s="2" t="s">
        <v>561</v>
      </c>
      <c r="D105" s="2">
        <v>1</v>
      </c>
      <c r="E105" s="2" t="s">
        <v>572</v>
      </c>
      <c r="F105" s="2" t="s">
        <v>568</v>
      </c>
      <c r="G105" s="2" t="s">
        <v>538</v>
      </c>
      <c r="H105" s="2">
        <v>1</v>
      </c>
      <c r="I105" s="2" t="s">
        <v>662</v>
      </c>
      <c r="J105" s="2" t="s">
        <v>617</v>
      </c>
      <c r="K105" s="2" t="s">
        <v>5</v>
      </c>
      <c r="L105" s="4"/>
      <c r="M105" s="4"/>
      <c r="N105" s="4"/>
    </row>
    <row r="106" spans="1:14" s="14" customFormat="1" ht="30" x14ac:dyDescent="0.25">
      <c r="A106" s="2">
        <v>83</v>
      </c>
      <c r="B106" s="2" t="s">
        <v>122</v>
      </c>
      <c r="C106" s="2" t="s">
        <v>561</v>
      </c>
      <c r="D106" s="2">
        <v>1</v>
      </c>
      <c r="E106" s="2" t="s">
        <v>572</v>
      </c>
      <c r="F106" s="2" t="s">
        <v>568</v>
      </c>
      <c r="G106" s="2" t="s">
        <v>538</v>
      </c>
      <c r="H106" s="2">
        <v>1</v>
      </c>
      <c r="I106" s="2" t="s">
        <v>662</v>
      </c>
      <c r="J106" s="2" t="s">
        <v>617</v>
      </c>
      <c r="K106" s="2" t="s">
        <v>5</v>
      </c>
      <c r="L106" s="4"/>
      <c r="M106" s="4"/>
      <c r="N106" s="4"/>
    </row>
    <row r="107" spans="1:14" s="14" customFormat="1" ht="30" x14ac:dyDescent="0.25">
      <c r="A107" s="2">
        <v>84</v>
      </c>
      <c r="B107" s="2" t="s">
        <v>123</v>
      </c>
      <c r="C107" s="2" t="s">
        <v>561</v>
      </c>
      <c r="D107" s="2">
        <v>1</v>
      </c>
      <c r="E107" s="2" t="s">
        <v>572</v>
      </c>
      <c r="F107" s="2" t="s">
        <v>568</v>
      </c>
      <c r="G107" s="2" t="s">
        <v>538</v>
      </c>
      <c r="H107" s="2">
        <v>1</v>
      </c>
      <c r="I107" s="2" t="s">
        <v>662</v>
      </c>
      <c r="J107" s="2" t="s">
        <v>617</v>
      </c>
      <c r="K107" s="2" t="s">
        <v>5</v>
      </c>
      <c r="L107" s="4"/>
      <c r="M107" s="4"/>
      <c r="N107" s="4"/>
    </row>
    <row r="108" spans="1:14" s="14" customFormat="1" ht="30" x14ac:dyDescent="0.25">
      <c r="A108" s="2">
        <v>85</v>
      </c>
      <c r="B108" s="2" t="s">
        <v>124</v>
      </c>
      <c r="C108" s="2" t="s">
        <v>561</v>
      </c>
      <c r="D108" s="2">
        <v>1</v>
      </c>
      <c r="E108" s="2" t="s">
        <v>572</v>
      </c>
      <c r="F108" s="2" t="s">
        <v>568</v>
      </c>
      <c r="G108" s="2" t="s">
        <v>538</v>
      </c>
      <c r="H108" s="2">
        <v>1</v>
      </c>
      <c r="I108" s="2" t="s">
        <v>662</v>
      </c>
      <c r="J108" s="2" t="s">
        <v>617</v>
      </c>
      <c r="K108" s="2" t="s">
        <v>5</v>
      </c>
      <c r="L108" s="4"/>
      <c r="M108" s="4"/>
      <c r="N108" s="4"/>
    </row>
    <row r="109" spans="1:14" s="14" customFormat="1" ht="30" x14ac:dyDescent="0.25">
      <c r="A109" s="2">
        <v>86</v>
      </c>
      <c r="B109" s="2" t="s">
        <v>386</v>
      </c>
      <c r="C109" s="2" t="s">
        <v>561</v>
      </c>
      <c r="D109" s="2">
        <v>1</v>
      </c>
      <c r="E109" s="2" t="s">
        <v>572</v>
      </c>
      <c r="F109" s="2" t="s">
        <v>568</v>
      </c>
      <c r="G109" s="2" t="s">
        <v>538</v>
      </c>
      <c r="H109" s="2">
        <v>1</v>
      </c>
      <c r="I109" s="2" t="s">
        <v>662</v>
      </c>
      <c r="J109" s="2" t="s">
        <v>617</v>
      </c>
      <c r="K109" s="2" t="s">
        <v>5</v>
      </c>
      <c r="L109" s="4"/>
      <c r="M109" s="4"/>
      <c r="N109" s="4"/>
    </row>
    <row r="110" spans="1:14" s="14" customFormat="1" ht="30" x14ac:dyDescent="0.25">
      <c r="A110" s="2">
        <v>87</v>
      </c>
      <c r="B110" s="2" t="s">
        <v>125</v>
      </c>
      <c r="C110" s="2" t="s">
        <v>561</v>
      </c>
      <c r="D110" s="2">
        <v>1</v>
      </c>
      <c r="E110" s="2" t="s">
        <v>572</v>
      </c>
      <c r="F110" s="2" t="s">
        <v>568</v>
      </c>
      <c r="G110" s="2" t="s">
        <v>538</v>
      </c>
      <c r="H110" s="2">
        <v>1</v>
      </c>
      <c r="I110" s="2" t="s">
        <v>662</v>
      </c>
      <c r="J110" s="2" t="s">
        <v>617</v>
      </c>
      <c r="K110" s="2" t="s">
        <v>5</v>
      </c>
      <c r="L110" s="4"/>
      <c r="M110" s="4"/>
      <c r="N110" s="4"/>
    </row>
    <row r="111" spans="1:14" s="14" customFormat="1" ht="30" x14ac:dyDescent="0.25">
      <c r="A111" s="2">
        <v>88</v>
      </c>
      <c r="B111" s="2" t="s">
        <v>296</v>
      </c>
      <c r="C111" s="2" t="s">
        <v>561</v>
      </c>
      <c r="D111" s="2">
        <v>1</v>
      </c>
      <c r="E111" s="2" t="s">
        <v>572</v>
      </c>
      <c r="F111" s="2" t="s">
        <v>568</v>
      </c>
      <c r="G111" s="2" t="s">
        <v>538</v>
      </c>
      <c r="H111" s="2">
        <v>1</v>
      </c>
      <c r="I111" s="2" t="s">
        <v>662</v>
      </c>
      <c r="J111" s="2" t="s">
        <v>617</v>
      </c>
      <c r="K111" s="2" t="s">
        <v>5</v>
      </c>
      <c r="L111" s="4"/>
      <c r="M111" s="4"/>
      <c r="N111" s="4"/>
    </row>
    <row r="112" spans="1:14" s="14" customFormat="1" ht="30" x14ac:dyDescent="0.25">
      <c r="A112" s="2">
        <v>89</v>
      </c>
      <c r="B112" s="2" t="s">
        <v>126</v>
      </c>
      <c r="C112" s="2" t="s">
        <v>561</v>
      </c>
      <c r="D112" s="2">
        <v>1</v>
      </c>
      <c r="E112" s="2" t="s">
        <v>572</v>
      </c>
      <c r="F112" s="2" t="s">
        <v>568</v>
      </c>
      <c r="G112" s="2" t="s">
        <v>538</v>
      </c>
      <c r="H112" s="2">
        <v>1</v>
      </c>
      <c r="I112" s="2" t="s">
        <v>662</v>
      </c>
      <c r="J112" s="2" t="s">
        <v>617</v>
      </c>
      <c r="K112" s="2" t="s">
        <v>5</v>
      </c>
      <c r="L112" s="4"/>
      <c r="M112" s="4"/>
      <c r="N112" s="4"/>
    </row>
    <row r="113" spans="1:14" s="14" customFormat="1" ht="30" x14ac:dyDescent="0.25">
      <c r="A113" s="172">
        <v>90</v>
      </c>
      <c r="B113" s="172" t="s">
        <v>127</v>
      </c>
      <c r="C113" s="172" t="s">
        <v>561</v>
      </c>
      <c r="D113" s="172">
        <v>1</v>
      </c>
      <c r="E113" s="172" t="s">
        <v>572</v>
      </c>
      <c r="F113" s="172" t="s">
        <v>568</v>
      </c>
      <c r="G113" s="172" t="s">
        <v>538</v>
      </c>
      <c r="H113" s="2">
        <v>1</v>
      </c>
      <c r="I113" s="2" t="s">
        <v>662</v>
      </c>
      <c r="J113" s="2" t="s">
        <v>617</v>
      </c>
      <c r="K113" s="2" t="s">
        <v>5</v>
      </c>
      <c r="L113" s="4"/>
      <c r="M113" s="4"/>
      <c r="N113" s="4"/>
    </row>
    <row r="114" spans="1:14" s="14" customFormat="1" ht="45" x14ac:dyDescent="0.25">
      <c r="A114" s="172"/>
      <c r="B114" s="172"/>
      <c r="C114" s="172"/>
      <c r="D114" s="172"/>
      <c r="E114" s="172"/>
      <c r="F114" s="172"/>
      <c r="G114" s="172"/>
      <c r="H114" s="2">
        <v>2</v>
      </c>
      <c r="I114" s="2" t="s">
        <v>1044</v>
      </c>
      <c r="J114" s="2" t="s">
        <v>617</v>
      </c>
      <c r="K114" s="2" t="s">
        <v>5</v>
      </c>
      <c r="L114" s="4"/>
      <c r="M114" s="4"/>
      <c r="N114" s="4"/>
    </row>
    <row r="115" spans="1:14" s="4" customFormat="1" ht="60" x14ac:dyDescent="0.25">
      <c r="A115" s="2">
        <v>91</v>
      </c>
      <c r="B115" s="2" t="s">
        <v>409</v>
      </c>
      <c r="C115" s="2" t="s">
        <v>565</v>
      </c>
      <c r="D115" s="2">
        <v>4</v>
      </c>
      <c r="E115" s="2" t="s">
        <v>573</v>
      </c>
      <c r="F115" s="2" t="s">
        <v>567</v>
      </c>
      <c r="G115" s="2" t="s">
        <v>555</v>
      </c>
      <c r="H115" s="2">
        <v>1</v>
      </c>
      <c r="I115" s="2" t="s">
        <v>1211</v>
      </c>
      <c r="J115" s="2" t="s">
        <v>617</v>
      </c>
      <c r="K115" s="2" t="s">
        <v>5</v>
      </c>
    </row>
    <row r="116" spans="1:14" s="4" customFormat="1" ht="60" x14ac:dyDescent="0.25">
      <c r="A116" s="2">
        <v>92</v>
      </c>
      <c r="B116" s="2" t="s">
        <v>410</v>
      </c>
      <c r="C116" s="2" t="s">
        <v>565</v>
      </c>
      <c r="D116" s="2">
        <v>4</v>
      </c>
      <c r="E116" s="2" t="s">
        <v>573</v>
      </c>
      <c r="F116" s="2" t="s">
        <v>567</v>
      </c>
      <c r="G116" s="2" t="s">
        <v>555</v>
      </c>
      <c r="H116" s="2">
        <v>1</v>
      </c>
      <c r="I116" s="2" t="s">
        <v>1232</v>
      </c>
      <c r="J116" s="2" t="s">
        <v>617</v>
      </c>
      <c r="K116" s="2" t="s">
        <v>5</v>
      </c>
    </row>
    <row r="117" spans="1:14" s="4" customFormat="1" ht="120" x14ac:dyDescent="0.25">
      <c r="A117" s="172">
        <v>93</v>
      </c>
      <c r="B117" s="172" t="s">
        <v>422</v>
      </c>
      <c r="C117" s="172" t="s">
        <v>565</v>
      </c>
      <c r="D117" s="172">
        <v>4</v>
      </c>
      <c r="E117" s="172" t="s">
        <v>573</v>
      </c>
      <c r="F117" s="172" t="s">
        <v>567</v>
      </c>
      <c r="G117" s="172" t="s">
        <v>555</v>
      </c>
      <c r="H117" s="2">
        <v>1</v>
      </c>
      <c r="I117" s="2" t="s">
        <v>1214</v>
      </c>
      <c r="J117" s="2" t="s">
        <v>617</v>
      </c>
      <c r="K117" s="2" t="s">
        <v>5</v>
      </c>
    </row>
    <row r="118" spans="1:14" s="4" customFormat="1" ht="90" x14ac:dyDescent="0.25">
      <c r="A118" s="172"/>
      <c r="B118" s="172"/>
      <c r="C118" s="172"/>
      <c r="D118" s="172"/>
      <c r="E118" s="172"/>
      <c r="F118" s="172"/>
      <c r="G118" s="172"/>
      <c r="H118" s="2">
        <v>2</v>
      </c>
      <c r="I118" s="2" t="s">
        <v>1215</v>
      </c>
      <c r="J118" s="2" t="s">
        <v>617</v>
      </c>
      <c r="K118" s="2" t="s">
        <v>5</v>
      </c>
    </row>
    <row r="119" spans="1:14" s="4" customFormat="1" ht="120" x14ac:dyDescent="0.25">
      <c r="A119" s="172">
        <v>94</v>
      </c>
      <c r="B119" s="172" t="s">
        <v>411</v>
      </c>
      <c r="C119" s="172" t="s">
        <v>565</v>
      </c>
      <c r="D119" s="172">
        <v>4</v>
      </c>
      <c r="E119" s="172" t="s">
        <v>573</v>
      </c>
      <c r="F119" s="172" t="s">
        <v>567</v>
      </c>
      <c r="G119" s="172" t="s">
        <v>555</v>
      </c>
      <c r="H119" s="2">
        <v>1</v>
      </c>
      <c r="I119" s="2" t="s">
        <v>1214</v>
      </c>
      <c r="J119" s="2" t="s">
        <v>617</v>
      </c>
      <c r="K119" s="2" t="s">
        <v>5</v>
      </c>
    </row>
    <row r="120" spans="1:14" s="4" customFormat="1" ht="90" x14ac:dyDescent="0.25">
      <c r="A120" s="172"/>
      <c r="B120" s="172"/>
      <c r="C120" s="172"/>
      <c r="D120" s="172"/>
      <c r="E120" s="172"/>
      <c r="F120" s="172"/>
      <c r="G120" s="172"/>
      <c r="H120" s="2">
        <v>2</v>
      </c>
      <c r="I120" s="2" t="s">
        <v>1215</v>
      </c>
      <c r="J120" s="2" t="s">
        <v>617</v>
      </c>
      <c r="K120" s="2" t="s">
        <v>5</v>
      </c>
    </row>
    <row r="121" spans="1:14" s="4" customFormat="1" ht="120" x14ac:dyDescent="0.25">
      <c r="A121" s="172">
        <v>95</v>
      </c>
      <c r="B121" s="172" t="s">
        <v>412</v>
      </c>
      <c r="C121" s="172" t="s">
        <v>565</v>
      </c>
      <c r="D121" s="172">
        <v>4</v>
      </c>
      <c r="E121" s="172" t="s">
        <v>573</v>
      </c>
      <c r="F121" s="172" t="s">
        <v>567</v>
      </c>
      <c r="G121" s="172" t="s">
        <v>555</v>
      </c>
      <c r="H121" s="2">
        <v>1</v>
      </c>
      <c r="I121" s="2" t="s">
        <v>1214</v>
      </c>
      <c r="J121" s="2" t="s">
        <v>617</v>
      </c>
      <c r="K121" s="2" t="s">
        <v>5</v>
      </c>
    </row>
    <row r="122" spans="1:14" s="4" customFormat="1" ht="90" x14ac:dyDescent="0.25">
      <c r="A122" s="172"/>
      <c r="B122" s="172"/>
      <c r="C122" s="172"/>
      <c r="D122" s="172"/>
      <c r="E122" s="172"/>
      <c r="F122" s="172"/>
      <c r="G122" s="172"/>
      <c r="H122" s="2">
        <v>2</v>
      </c>
      <c r="I122" s="2" t="s">
        <v>1215</v>
      </c>
      <c r="J122" s="2" t="s">
        <v>617</v>
      </c>
      <c r="K122" s="2" t="s">
        <v>5</v>
      </c>
    </row>
    <row r="123" spans="1:14" s="13" customFormat="1" ht="42.75" customHeight="1" x14ac:dyDescent="0.25">
      <c r="A123" s="88" t="s">
        <v>1036</v>
      </c>
      <c r="B123" s="173" t="s">
        <v>319</v>
      </c>
      <c r="C123" s="173"/>
      <c r="D123" s="173"/>
      <c r="E123" s="173"/>
      <c r="F123" s="173"/>
      <c r="G123" s="173"/>
      <c r="H123" s="88">
        <v>1</v>
      </c>
      <c r="I123" s="88" t="str">
        <f>"Pelo menos um dos campos de "&amp;A123&amp;" deve ser preenchido com 1"</f>
        <v>Pelo menos um dos campos de 96 a 102 deve ser preenchido com 1</v>
      </c>
      <c r="J123" s="88" t="s">
        <v>617</v>
      </c>
      <c r="K123" s="88" t="s">
        <v>5</v>
      </c>
      <c r="L123" s="15"/>
      <c r="M123" s="15"/>
      <c r="N123" s="15"/>
    </row>
    <row r="124" spans="1:14" s="14" customFormat="1" ht="30" x14ac:dyDescent="0.25">
      <c r="A124" s="2">
        <v>96</v>
      </c>
      <c r="B124" s="2" t="s">
        <v>128</v>
      </c>
      <c r="C124" s="2" t="s">
        <v>561</v>
      </c>
      <c r="D124" s="2">
        <v>1</v>
      </c>
      <c r="E124" s="2" t="s">
        <v>572</v>
      </c>
      <c r="F124" s="2" t="s">
        <v>568</v>
      </c>
      <c r="G124" s="2" t="s">
        <v>538</v>
      </c>
      <c r="H124" s="2">
        <v>1</v>
      </c>
      <c r="I124" s="2" t="s">
        <v>662</v>
      </c>
      <c r="J124" s="2" t="s">
        <v>617</v>
      </c>
      <c r="K124" s="2" t="s">
        <v>5</v>
      </c>
      <c r="L124" s="4"/>
      <c r="M124" s="4"/>
      <c r="N124" s="4"/>
    </row>
    <row r="125" spans="1:14" s="14" customFormat="1" ht="30" x14ac:dyDescent="0.25">
      <c r="A125" s="2">
        <v>97</v>
      </c>
      <c r="B125" s="2" t="s">
        <v>129</v>
      </c>
      <c r="C125" s="2" t="s">
        <v>561</v>
      </c>
      <c r="D125" s="2">
        <v>1</v>
      </c>
      <c r="E125" s="2" t="s">
        <v>572</v>
      </c>
      <c r="F125" s="2" t="s">
        <v>568</v>
      </c>
      <c r="G125" s="2" t="s">
        <v>538</v>
      </c>
      <c r="H125" s="2">
        <v>1</v>
      </c>
      <c r="I125" s="2" t="s">
        <v>662</v>
      </c>
      <c r="J125" s="2" t="s">
        <v>617</v>
      </c>
      <c r="K125" s="2" t="s">
        <v>5</v>
      </c>
      <c r="L125" s="4"/>
      <c r="M125" s="4"/>
      <c r="N125" s="4"/>
    </row>
    <row r="126" spans="1:14" s="14" customFormat="1" ht="30" x14ac:dyDescent="0.25">
      <c r="A126" s="2">
        <v>98</v>
      </c>
      <c r="B126" s="2" t="s">
        <v>130</v>
      </c>
      <c r="C126" s="2" t="s">
        <v>561</v>
      </c>
      <c r="D126" s="2">
        <v>1</v>
      </c>
      <c r="E126" s="2" t="s">
        <v>572</v>
      </c>
      <c r="F126" s="2" t="s">
        <v>568</v>
      </c>
      <c r="G126" s="2" t="s">
        <v>538</v>
      </c>
      <c r="H126" s="2">
        <v>1</v>
      </c>
      <c r="I126" s="2" t="s">
        <v>662</v>
      </c>
      <c r="J126" s="2" t="s">
        <v>617</v>
      </c>
      <c r="K126" s="2" t="s">
        <v>5</v>
      </c>
      <c r="L126" s="4"/>
      <c r="M126" s="4"/>
      <c r="N126" s="4"/>
    </row>
    <row r="127" spans="1:14" s="14" customFormat="1" ht="30" x14ac:dyDescent="0.25">
      <c r="A127" s="2">
        <v>99</v>
      </c>
      <c r="B127" s="2" t="s">
        <v>131</v>
      </c>
      <c r="C127" s="2" t="s">
        <v>561</v>
      </c>
      <c r="D127" s="2">
        <v>1</v>
      </c>
      <c r="E127" s="2" t="s">
        <v>572</v>
      </c>
      <c r="F127" s="2" t="s">
        <v>568</v>
      </c>
      <c r="G127" s="2" t="s">
        <v>538</v>
      </c>
      <c r="H127" s="2">
        <v>1</v>
      </c>
      <c r="I127" s="2" t="s">
        <v>662</v>
      </c>
      <c r="J127" s="2" t="s">
        <v>617</v>
      </c>
      <c r="K127" s="2" t="s">
        <v>5</v>
      </c>
      <c r="L127" s="4"/>
      <c r="M127" s="4"/>
      <c r="N127" s="4"/>
    </row>
    <row r="128" spans="1:14" s="14" customFormat="1" ht="30" x14ac:dyDescent="0.25">
      <c r="A128" s="2">
        <v>100</v>
      </c>
      <c r="B128" s="2" t="s">
        <v>132</v>
      </c>
      <c r="C128" s="2" t="s">
        <v>561</v>
      </c>
      <c r="D128" s="2">
        <v>1</v>
      </c>
      <c r="E128" s="2" t="s">
        <v>572</v>
      </c>
      <c r="F128" s="2" t="s">
        <v>568</v>
      </c>
      <c r="G128" s="2" t="s">
        <v>538</v>
      </c>
      <c r="H128" s="2">
        <v>1</v>
      </c>
      <c r="I128" s="2" t="s">
        <v>662</v>
      </c>
      <c r="J128" s="2" t="s">
        <v>617</v>
      </c>
      <c r="K128" s="2" t="s">
        <v>5</v>
      </c>
      <c r="L128" s="4"/>
      <c r="M128" s="4"/>
      <c r="N128" s="4"/>
    </row>
    <row r="129" spans="1:14" s="14" customFormat="1" ht="30" x14ac:dyDescent="0.25">
      <c r="A129" s="2">
        <v>101</v>
      </c>
      <c r="B129" s="2" t="s">
        <v>133</v>
      </c>
      <c r="C129" s="2" t="s">
        <v>561</v>
      </c>
      <c r="D129" s="2">
        <v>1</v>
      </c>
      <c r="E129" s="2" t="s">
        <v>572</v>
      </c>
      <c r="F129" s="2" t="s">
        <v>568</v>
      </c>
      <c r="G129" s="2" t="s">
        <v>538</v>
      </c>
      <c r="H129" s="2">
        <v>1</v>
      </c>
      <c r="I129" s="2" t="s">
        <v>662</v>
      </c>
      <c r="J129" s="2" t="s">
        <v>617</v>
      </c>
      <c r="K129" s="2" t="s">
        <v>5</v>
      </c>
      <c r="L129" s="4"/>
      <c r="M129" s="4"/>
      <c r="N129" s="4"/>
    </row>
    <row r="130" spans="1:14" s="14" customFormat="1" ht="30" x14ac:dyDescent="0.25">
      <c r="A130" s="172">
        <v>102</v>
      </c>
      <c r="B130" s="172" t="s">
        <v>348</v>
      </c>
      <c r="C130" s="172" t="s">
        <v>561</v>
      </c>
      <c r="D130" s="172">
        <v>1</v>
      </c>
      <c r="E130" s="172" t="s">
        <v>572</v>
      </c>
      <c r="F130" s="172" t="s">
        <v>568</v>
      </c>
      <c r="G130" s="172" t="s">
        <v>538</v>
      </c>
      <c r="H130" s="2">
        <v>1</v>
      </c>
      <c r="I130" s="2" t="s">
        <v>662</v>
      </c>
      <c r="J130" s="2" t="s">
        <v>617</v>
      </c>
      <c r="K130" s="2" t="s">
        <v>5</v>
      </c>
      <c r="L130" s="4"/>
      <c r="M130" s="4"/>
      <c r="N130" s="4"/>
    </row>
    <row r="131" spans="1:14" s="14" customFormat="1" ht="45" x14ac:dyDescent="0.25">
      <c r="A131" s="172"/>
      <c r="B131" s="172"/>
      <c r="C131" s="172"/>
      <c r="D131" s="172"/>
      <c r="E131" s="172"/>
      <c r="F131" s="172"/>
      <c r="G131" s="172"/>
      <c r="H131" s="2">
        <v>2</v>
      </c>
      <c r="I131" s="2" t="s">
        <v>1043</v>
      </c>
      <c r="J131" s="2" t="s">
        <v>617</v>
      </c>
      <c r="K131" s="2" t="s">
        <v>5</v>
      </c>
      <c r="L131" s="4"/>
      <c r="M131" s="4"/>
      <c r="N131" s="4"/>
    </row>
    <row r="132" spans="1:14" s="4" customFormat="1" ht="30" x14ac:dyDescent="0.25">
      <c r="A132" s="2">
        <v>103</v>
      </c>
      <c r="B132" s="2" t="s">
        <v>134</v>
      </c>
      <c r="C132" s="2" t="s">
        <v>523</v>
      </c>
      <c r="D132" s="2">
        <v>4</v>
      </c>
      <c r="E132" s="2" t="s">
        <v>573</v>
      </c>
      <c r="F132" s="2" t="s">
        <v>567</v>
      </c>
      <c r="G132" s="2" t="s">
        <v>555</v>
      </c>
      <c r="H132" s="2">
        <v>1</v>
      </c>
      <c r="I132" s="2" t="s">
        <v>628</v>
      </c>
      <c r="J132" s="2" t="s">
        <v>617</v>
      </c>
      <c r="K132" s="2" t="s">
        <v>5</v>
      </c>
    </row>
    <row r="133" spans="1:14" s="4" customFormat="1" ht="30" x14ac:dyDescent="0.25">
      <c r="A133" s="2">
        <v>104</v>
      </c>
      <c r="B133" s="2" t="s">
        <v>135</v>
      </c>
      <c r="C133" s="2" t="s">
        <v>523</v>
      </c>
      <c r="D133" s="2">
        <v>4</v>
      </c>
      <c r="E133" s="2" t="s">
        <v>573</v>
      </c>
      <c r="F133" s="2" t="s">
        <v>567</v>
      </c>
      <c r="G133" s="2" t="s">
        <v>555</v>
      </c>
      <c r="H133" s="2">
        <v>1</v>
      </c>
      <c r="I133" s="2" t="s">
        <v>628</v>
      </c>
      <c r="J133" s="2" t="s">
        <v>617</v>
      </c>
      <c r="K133" s="2" t="s">
        <v>5</v>
      </c>
    </row>
    <row r="134" spans="1:14" s="4" customFormat="1" ht="30" x14ac:dyDescent="0.25">
      <c r="A134" s="2">
        <v>105</v>
      </c>
      <c r="B134" s="2" t="s">
        <v>136</v>
      </c>
      <c r="C134" s="2" t="s">
        <v>523</v>
      </c>
      <c r="D134" s="2">
        <v>4</v>
      </c>
      <c r="E134" s="2" t="s">
        <v>573</v>
      </c>
      <c r="F134" s="2" t="s">
        <v>567</v>
      </c>
      <c r="G134" s="2" t="s">
        <v>555</v>
      </c>
      <c r="H134" s="2">
        <v>1</v>
      </c>
      <c r="I134" s="2" t="s">
        <v>628</v>
      </c>
      <c r="J134" s="2" t="s">
        <v>617</v>
      </c>
      <c r="K134" s="2" t="s">
        <v>5</v>
      </c>
    </row>
    <row r="135" spans="1:14" s="4" customFormat="1" ht="30" x14ac:dyDescent="0.25">
      <c r="A135" s="2">
        <v>106</v>
      </c>
      <c r="B135" s="2" t="s">
        <v>137</v>
      </c>
      <c r="C135" s="2" t="s">
        <v>523</v>
      </c>
      <c r="D135" s="2">
        <v>4</v>
      </c>
      <c r="E135" s="2" t="s">
        <v>573</v>
      </c>
      <c r="F135" s="2" t="s">
        <v>567</v>
      </c>
      <c r="G135" s="2" t="s">
        <v>555</v>
      </c>
      <c r="H135" s="2">
        <v>1</v>
      </c>
      <c r="I135" s="2" t="s">
        <v>628</v>
      </c>
      <c r="J135" s="2" t="s">
        <v>617</v>
      </c>
      <c r="K135" s="2" t="s">
        <v>5</v>
      </c>
    </row>
    <row r="136" spans="1:14" s="4" customFormat="1" ht="30" x14ac:dyDescent="0.25">
      <c r="A136" s="2">
        <v>107</v>
      </c>
      <c r="B136" s="2" t="s">
        <v>138</v>
      </c>
      <c r="C136" s="2" t="s">
        <v>523</v>
      </c>
      <c r="D136" s="2">
        <v>4</v>
      </c>
      <c r="E136" s="2" t="s">
        <v>573</v>
      </c>
      <c r="F136" s="2" t="s">
        <v>567</v>
      </c>
      <c r="G136" s="2" t="s">
        <v>555</v>
      </c>
      <c r="H136" s="2">
        <v>1</v>
      </c>
      <c r="I136" s="2" t="s">
        <v>628</v>
      </c>
      <c r="J136" s="2" t="s">
        <v>617</v>
      </c>
      <c r="K136" s="2" t="s">
        <v>5</v>
      </c>
    </row>
    <row r="137" spans="1:14" s="4" customFormat="1" ht="30" x14ac:dyDescent="0.25">
      <c r="A137" s="2">
        <v>108</v>
      </c>
      <c r="B137" s="2" t="s">
        <v>549</v>
      </c>
      <c r="C137" s="2" t="s">
        <v>523</v>
      </c>
      <c r="D137" s="2">
        <v>4</v>
      </c>
      <c r="E137" s="2" t="s">
        <v>573</v>
      </c>
      <c r="F137" s="2" t="s">
        <v>567</v>
      </c>
      <c r="G137" s="2" t="s">
        <v>555</v>
      </c>
      <c r="H137" s="2">
        <v>1</v>
      </c>
      <c r="I137" s="2" t="s">
        <v>628</v>
      </c>
      <c r="J137" s="2" t="s">
        <v>617</v>
      </c>
      <c r="K137" s="2" t="s">
        <v>5</v>
      </c>
    </row>
    <row r="138" spans="1:14" s="4" customFormat="1" ht="30" x14ac:dyDescent="0.25">
      <c r="A138" s="2">
        <v>109</v>
      </c>
      <c r="B138" s="2" t="s">
        <v>550</v>
      </c>
      <c r="C138" s="2" t="s">
        <v>523</v>
      </c>
      <c r="D138" s="2">
        <v>4</v>
      </c>
      <c r="E138" s="2" t="s">
        <v>573</v>
      </c>
      <c r="F138" s="2" t="s">
        <v>567</v>
      </c>
      <c r="G138" s="2" t="s">
        <v>555</v>
      </c>
      <c r="H138" s="2">
        <v>1</v>
      </c>
      <c r="I138" s="2" t="s">
        <v>628</v>
      </c>
      <c r="J138" s="2" t="s">
        <v>617</v>
      </c>
      <c r="K138" s="2" t="s">
        <v>5</v>
      </c>
    </row>
    <row r="139" spans="1:14" s="4" customFormat="1" ht="30" x14ac:dyDescent="0.25">
      <c r="A139" s="2">
        <v>110</v>
      </c>
      <c r="B139" s="2" t="s">
        <v>551</v>
      </c>
      <c r="C139" s="2" t="s">
        <v>523</v>
      </c>
      <c r="D139" s="2">
        <v>4</v>
      </c>
      <c r="E139" s="2" t="s">
        <v>573</v>
      </c>
      <c r="F139" s="2" t="s">
        <v>567</v>
      </c>
      <c r="G139" s="2" t="s">
        <v>555</v>
      </c>
      <c r="H139" s="2">
        <v>1</v>
      </c>
      <c r="I139" s="2" t="s">
        <v>628</v>
      </c>
      <c r="J139" s="2" t="s">
        <v>617</v>
      </c>
      <c r="K139" s="2" t="s">
        <v>5</v>
      </c>
    </row>
    <row r="140" spans="1:14" s="4" customFormat="1" ht="45.75" customHeight="1" x14ac:dyDescent="0.25">
      <c r="A140" s="2" t="s">
        <v>1037</v>
      </c>
      <c r="B140" s="172" t="s">
        <v>139</v>
      </c>
      <c r="C140" s="172"/>
      <c r="D140" s="172"/>
      <c r="E140" s="172"/>
      <c r="F140" s="172"/>
      <c r="G140" s="172"/>
      <c r="H140" s="2">
        <v>1</v>
      </c>
      <c r="I140" s="2" t="str">
        <f>"Pelo menos um dos campos de "&amp;A140&amp;" deve ser preenchido com 1"</f>
        <v>Pelo menos um dos campos de 111 a 115 deve ser preenchido com 1</v>
      </c>
      <c r="J140" s="2" t="s">
        <v>617</v>
      </c>
      <c r="K140" s="2" t="s">
        <v>5</v>
      </c>
    </row>
    <row r="141" spans="1:14" s="4" customFormat="1" ht="30" x14ac:dyDescent="0.25">
      <c r="A141" s="2">
        <v>111</v>
      </c>
      <c r="B141" s="2" t="s">
        <v>140</v>
      </c>
      <c r="C141" s="2" t="s">
        <v>561</v>
      </c>
      <c r="D141" s="2">
        <v>1</v>
      </c>
      <c r="E141" s="2" t="s">
        <v>572</v>
      </c>
      <c r="F141" s="2" t="s">
        <v>568</v>
      </c>
      <c r="G141" s="2" t="s">
        <v>538</v>
      </c>
      <c r="H141" s="2">
        <v>1</v>
      </c>
      <c r="I141" s="2" t="s">
        <v>662</v>
      </c>
      <c r="J141" s="2" t="s">
        <v>617</v>
      </c>
      <c r="K141" s="2" t="s">
        <v>5</v>
      </c>
    </row>
    <row r="142" spans="1:14" s="4" customFormat="1" ht="30" x14ac:dyDescent="0.25">
      <c r="A142" s="2">
        <v>112</v>
      </c>
      <c r="B142" s="2" t="s">
        <v>297</v>
      </c>
      <c r="C142" s="2" t="s">
        <v>561</v>
      </c>
      <c r="D142" s="2">
        <v>1</v>
      </c>
      <c r="E142" s="2" t="s">
        <v>572</v>
      </c>
      <c r="F142" s="2" t="s">
        <v>568</v>
      </c>
      <c r="G142" s="2" t="s">
        <v>538</v>
      </c>
      <c r="H142" s="2">
        <v>1</v>
      </c>
      <c r="I142" s="2" t="s">
        <v>662</v>
      </c>
      <c r="J142" s="2" t="s">
        <v>617</v>
      </c>
      <c r="K142" s="2" t="s">
        <v>5</v>
      </c>
    </row>
    <row r="143" spans="1:14" s="4" customFormat="1" ht="30" x14ac:dyDescent="0.25">
      <c r="A143" s="2">
        <v>113</v>
      </c>
      <c r="B143" s="2" t="s">
        <v>141</v>
      </c>
      <c r="C143" s="2" t="s">
        <v>561</v>
      </c>
      <c r="D143" s="2">
        <v>1</v>
      </c>
      <c r="E143" s="2" t="s">
        <v>572</v>
      </c>
      <c r="F143" s="2" t="s">
        <v>568</v>
      </c>
      <c r="G143" s="2" t="s">
        <v>538</v>
      </c>
      <c r="H143" s="2">
        <v>1</v>
      </c>
      <c r="I143" s="2" t="s">
        <v>662</v>
      </c>
      <c r="J143" s="2" t="s">
        <v>617</v>
      </c>
      <c r="K143" s="2" t="s">
        <v>5</v>
      </c>
    </row>
    <row r="144" spans="1:14" s="4" customFormat="1" ht="30" x14ac:dyDescent="0.25">
      <c r="A144" s="2">
        <v>114</v>
      </c>
      <c r="B144" s="2" t="s">
        <v>142</v>
      </c>
      <c r="C144" s="2" t="s">
        <v>561</v>
      </c>
      <c r="D144" s="2">
        <v>1</v>
      </c>
      <c r="E144" s="2" t="s">
        <v>572</v>
      </c>
      <c r="F144" s="2" t="s">
        <v>568</v>
      </c>
      <c r="G144" s="2" t="s">
        <v>538</v>
      </c>
      <c r="H144" s="2">
        <v>1</v>
      </c>
      <c r="I144" s="2" t="s">
        <v>662</v>
      </c>
      <c r="J144" s="2" t="s">
        <v>617</v>
      </c>
      <c r="K144" s="2" t="s">
        <v>5</v>
      </c>
    </row>
    <row r="145" spans="1:1029" s="4" customFormat="1" ht="30" x14ac:dyDescent="0.25">
      <c r="A145" s="172">
        <v>115</v>
      </c>
      <c r="B145" s="172" t="s">
        <v>143</v>
      </c>
      <c r="C145" s="172" t="s">
        <v>561</v>
      </c>
      <c r="D145" s="172">
        <v>1</v>
      </c>
      <c r="E145" s="172" t="s">
        <v>572</v>
      </c>
      <c r="F145" s="172" t="s">
        <v>568</v>
      </c>
      <c r="G145" s="172" t="s">
        <v>538</v>
      </c>
      <c r="H145" s="2">
        <v>1</v>
      </c>
      <c r="I145" s="2" t="s">
        <v>662</v>
      </c>
      <c r="J145" s="2" t="s">
        <v>617</v>
      </c>
      <c r="K145" s="2" t="s">
        <v>5</v>
      </c>
    </row>
    <row r="146" spans="1:1029" s="4" customFormat="1" ht="45" x14ac:dyDescent="0.25">
      <c r="A146" s="172"/>
      <c r="B146" s="172"/>
      <c r="C146" s="172"/>
      <c r="D146" s="172"/>
      <c r="E146" s="172"/>
      <c r="F146" s="172"/>
      <c r="G146" s="172"/>
      <c r="H146" s="2">
        <v>2</v>
      </c>
      <c r="I146" s="2" t="s">
        <v>1043</v>
      </c>
      <c r="J146" s="2" t="s">
        <v>617</v>
      </c>
      <c r="K146" s="2" t="s">
        <v>5</v>
      </c>
    </row>
    <row r="147" spans="1:1029" s="4" customFormat="1" ht="60" x14ac:dyDescent="0.25">
      <c r="A147" s="172">
        <v>116</v>
      </c>
      <c r="B147" s="172" t="s">
        <v>314</v>
      </c>
      <c r="C147" s="172" t="s">
        <v>565</v>
      </c>
      <c r="D147" s="172">
        <v>1</v>
      </c>
      <c r="E147" s="172" t="s">
        <v>572</v>
      </c>
      <c r="F147" s="172" t="s">
        <v>568</v>
      </c>
      <c r="G147" s="172" t="s">
        <v>552</v>
      </c>
      <c r="H147" s="2">
        <v>1</v>
      </c>
      <c r="I147" s="2" t="s">
        <v>913</v>
      </c>
      <c r="J147" s="2" t="s">
        <v>617</v>
      </c>
      <c r="K147" s="2" t="s">
        <v>5</v>
      </c>
    </row>
    <row r="148" spans="1:1029" s="4" customFormat="1" ht="195" customHeight="1" x14ac:dyDescent="0.25">
      <c r="A148" s="172"/>
      <c r="B148" s="172"/>
      <c r="C148" s="172"/>
      <c r="D148" s="172"/>
      <c r="E148" s="172"/>
      <c r="F148" s="172"/>
      <c r="G148" s="172"/>
      <c r="H148" s="2">
        <v>2</v>
      </c>
      <c r="I148" s="2" t="s">
        <v>914</v>
      </c>
      <c r="J148" s="2" t="s">
        <v>617</v>
      </c>
      <c r="K148" s="2" t="s">
        <v>5</v>
      </c>
    </row>
    <row r="149" spans="1:1029" s="4" customFormat="1" ht="60" x14ac:dyDescent="0.25">
      <c r="A149" s="2">
        <v>117</v>
      </c>
      <c r="B149" s="2" t="s">
        <v>298</v>
      </c>
      <c r="C149" s="2" t="s">
        <v>565</v>
      </c>
      <c r="D149" s="2">
        <v>1</v>
      </c>
      <c r="E149" s="2" t="s">
        <v>572</v>
      </c>
      <c r="F149" s="2" t="s">
        <v>568</v>
      </c>
      <c r="G149" s="2" t="s">
        <v>538</v>
      </c>
      <c r="H149" s="2">
        <v>1</v>
      </c>
      <c r="I149" s="2" t="s">
        <v>911</v>
      </c>
      <c r="J149" s="2" t="s">
        <v>617</v>
      </c>
      <c r="K149" s="2" t="s">
        <v>5</v>
      </c>
    </row>
    <row r="150" spans="1:1029" s="4" customFormat="1" ht="30" x14ac:dyDescent="0.25">
      <c r="A150" s="172">
        <v>118</v>
      </c>
      <c r="B150" s="172" t="s">
        <v>144</v>
      </c>
      <c r="C150" s="172" t="s">
        <v>561</v>
      </c>
      <c r="D150" s="172">
        <v>1</v>
      </c>
      <c r="E150" s="172" t="s">
        <v>573</v>
      </c>
      <c r="F150" s="172" t="s">
        <v>568</v>
      </c>
      <c r="G150" s="172" t="s">
        <v>553</v>
      </c>
      <c r="H150" s="2">
        <v>1</v>
      </c>
      <c r="I150" s="2" t="s">
        <v>912</v>
      </c>
      <c r="J150" s="2" t="s">
        <v>617</v>
      </c>
      <c r="K150" s="2" t="s">
        <v>5</v>
      </c>
    </row>
    <row r="151" spans="1:1029" s="4" customFormat="1" ht="75" x14ac:dyDescent="0.25">
      <c r="A151" s="172"/>
      <c r="B151" s="172"/>
      <c r="C151" s="172"/>
      <c r="D151" s="172"/>
      <c r="E151" s="172"/>
      <c r="F151" s="172"/>
      <c r="G151" s="172"/>
      <c r="H151" s="2">
        <v>2</v>
      </c>
      <c r="I151" s="2" t="s">
        <v>915</v>
      </c>
      <c r="J151" s="2" t="s">
        <v>617</v>
      </c>
      <c r="K151" s="2" t="s">
        <v>5</v>
      </c>
    </row>
    <row r="152" spans="1:1029" s="4" customFormat="1" ht="60" x14ac:dyDescent="0.25">
      <c r="A152" s="172"/>
      <c r="B152" s="172"/>
      <c r="C152" s="172"/>
      <c r="D152" s="172"/>
      <c r="E152" s="172"/>
      <c r="F152" s="172"/>
      <c r="G152" s="172"/>
      <c r="H152" s="2">
        <v>3</v>
      </c>
      <c r="I152" s="2" t="s">
        <v>916</v>
      </c>
      <c r="J152" s="2" t="s">
        <v>617</v>
      </c>
      <c r="K152" s="2" t="s">
        <v>5</v>
      </c>
    </row>
    <row r="153" spans="1:1029" s="13" customFormat="1" ht="44.25" customHeight="1" x14ac:dyDescent="0.25">
      <c r="A153" s="88" t="s">
        <v>1216</v>
      </c>
      <c r="B153" s="173" t="s">
        <v>145</v>
      </c>
      <c r="C153" s="173"/>
      <c r="D153" s="173"/>
      <c r="E153" s="173"/>
      <c r="F153" s="173"/>
      <c r="G153" s="173"/>
      <c r="H153" s="88">
        <v>1</v>
      </c>
      <c r="I153" s="88" t="str">
        <f>"Pelo menos um dos campos de "&amp;A153&amp;" deve ser preenchido"</f>
        <v>Pelo menos um dos campos de 119 a 138 deve ser preenchido</v>
      </c>
      <c r="J153" s="88" t="s">
        <v>617</v>
      </c>
      <c r="K153" s="88" t="s">
        <v>5</v>
      </c>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c r="HX153" s="10"/>
      <c r="HY153" s="10"/>
      <c r="HZ153" s="10"/>
      <c r="IA153" s="10"/>
      <c r="IB153" s="10"/>
      <c r="IC153" s="10"/>
      <c r="ID153" s="10"/>
      <c r="IE153" s="10"/>
      <c r="IF153" s="10"/>
      <c r="IG153" s="10"/>
      <c r="IH153" s="10"/>
      <c r="II153" s="10"/>
      <c r="IJ153" s="10"/>
      <c r="IK153" s="10"/>
      <c r="IL153" s="10"/>
      <c r="IM153" s="10"/>
      <c r="IN153" s="10"/>
      <c r="IO153" s="10"/>
      <c r="IP153" s="10"/>
      <c r="IQ153" s="10"/>
      <c r="IR153" s="10"/>
      <c r="IS153" s="10"/>
      <c r="IT153" s="10"/>
      <c r="IU153" s="10"/>
      <c r="IV153" s="10"/>
      <c r="IW153" s="10"/>
      <c r="IX153" s="10"/>
      <c r="IY153" s="10"/>
      <c r="IZ153" s="10"/>
      <c r="JA153" s="10"/>
      <c r="JB153" s="10"/>
      <c r="JC153" s="10"/>
      <c r="JD153" s="10"/>
      <c r="JE153" s="10"/>
      <c r="JF153" s="10"/>
      <c r="JG153" s="10"/>
      <c r="JH153" s="10"/>
      <c r="JI153" s="10"/>
      <c r="JJ153" s="10"/>
      <c r="JK153" s="10"/>
      <c r="JL153" s="10"/>
      <c r="JM153" s="10"/>
      <c r="JN153" s="10"/>
      <c r="JO153" s="10"/>
      <c r="JP153" s="10"/>
      <c r="JQ153" s="10"/>
      <c r="JR153" s="10"/>
      <c r="JS153" s="10"/>
      <c r="JT153" s="10"/>
      <c r="JU153" s="10"/>
      <c r="JV153" s="10"/>
      <c r="JW153" s="10"/>
      <c r="JX153" s="10"/>
      <c r="JY153" s="10"/>
      <c r="JZ153" s="10"/>
      <c r="KA153" s="10"/>
      <c r="KB153" s="10"/>
      <c r="KC153" s="10"/>
      <c r="KD153" s="10"/>
      <c r="KE153" s="10"/>
      <c r="KF153" s="10"/>
      <c r="KG153" s="10"/>
      <c r="KH153" s="10"/>
      <c r="KI153" s="10"/>
      <c r="KJ153" s="10"/>
      <c r="KK153" s="10"/>
      <c r="KL153" s="10"/>
      <c r="KM153" s="10"/>
      <c r="KN153" s="10"/>
      <c r="KO153" s="10"/>
      <c r="KP153" s="10"/>
      <c r="KQ153" s="10"/>
      <c r="KR153" s="10"/>
      <c r="KS153" s="10"/>
      <c r="KT153" s="10"/>
      <c r="KU153" s="10"/>
      <c r="KV153" s="10"/>
      <c r="KW153" s="10"/>
      <c r="KX153" s="10"/>
      <c r="KY153" s="10"/>
      <c r="KZ153" s="10"/>
      <c r="LA153" s="10"/>
      <c r="LB153" s="10"/>
      <c r="LC153" s="10"/>
      <c r="LD153" s="10"/>
      <c r="LE153" s="10"/>
      <c r="LF153" s="10"/>
      <c r="LG153" s="10"/>
      <c r="LH153" s="10"/>
      <c r="LI153" s="10"/>
      <c r="LJ153" s="10"/>
      <c r="LK153" s="10"/>
      <c r="LL153" s="10"/>
      <c r="LM153" s="10"/>
      <c r="LN153" s="10"/>
      <c r="LO153" s="10"/>
      <c r="LP153" s="10"/>
      <c r="LQ153" s="10"/>
      <c r="LR153" s="10"/>
      <c r="LS153" s="10"/>
      <c r="LT153" s="10"/>
      <c r="LU153" s="10"/>
      <c r="LV153" s="10"/>
      <c r="LW153" s="10"/>
      <c r="LX153" s="10"/>
      <c r="LY153" s="10"/>
      <c r="LZ153" s="10"/>
      <c r="MA153" s="10"/>
      <c r="MB153" s="10"/>
      <c r="MC153" s="10"/>
      <c r="MD153" s="10"/>
      <c r="ME153" s="10"/>
      <c r="MF153" s="10"/>
      <c r="MG153" s="10"/>
      <c r="MH153" s="10"/>
      <c r="MI153" s="10"/>
      <c r="MJ153" s="10"/>
      <c r="MK153" s="10"/>
      <c r="ML153" s="10"/>
      <c r="MM153" s="10"/>
      <c r="MN153" s="10"/>
      <c r="MO153" s="10"/>
      <c r="MP153" s="10"/>
      <c r="MQ153" s="10"/>
      <c r="MR153" s="10"/>
      <c r="MS153" s="10"/>
      <c r="MT153" s="10"/>
      <c r="MU153" s="10"/>
      <c r="MV153" s="10"/>
      <c r="MW153" s="10"/>
      <c r="MX153" s="10"/>
      <c r="MY153" s="10"/>
      <c r="MZ153" s="10"/>
      <c r="NA153" s="10"/>
      <c r="NB153" s="10"/>
      <c r="NC153" s="10"/>
      <c r="ND153" s="10"/>
      <c r="NE153" s="10"/>
      <c r="NF153" s="10"/>
      <c r="NG153" s="10"/>
      <c r="NH153" s="10"/>
      <c r="NI153" s="10"/>
      <c r="NJ153" s="10"/>
      <c r="NK153" s="10"/>
      <c r="NL153" s="10"/>
      <c r="NM153" s="10"/>
      <c r="NN153" s="10"/>
      <c r="NO153" s="10"/>
      <c r="NP153" s="10"/>
      <c r="NQ153" s="10"/>
      <c r="NR153" s="10"/>
      <c r="NS153" s="10"/>
      <c r="NT153" s="10"/>
      <c r="NU153" s="10"/>
      <c r="NV153" s="10"/>
      <c r="NW153" s="10"/>
      <c r="NX153" s="10"/>
      <c r="NY153" s="10"/>
      <c r="NZ153" s="10"/>
      <c r="OA153" s="10"/>
      <c r="OB153" s="10"/>
      <c r="OC153" s="10"/>
      <c r="OD153" s="10"/>
      <c r="OE153" s="10"/>
      <c r="OF153" s="10"/>
      <c r="OG153" s="10"/>
      <c r="OH153" s="10"/>
      <c r="OI153" s="10"/>
      <c r="OJ153" s="10"/>
      <c r="OK153" s="10"/>
      <c r="OL153" s="10"/>
      <c r="OM153" s="10"/>
      <c r="ON153" s="10"/>
      <c r="OO153" s="10"/>
      <c r="OP153" s="10"/>
      <c r="OQ153" s="10"/>
      <c r="OR153" s="10"/>
      <c r="OS153" s="10"/>
      <c r="OT153" s="10"/>
      <c r="OU153" s="10"/>
      <c r="OV153" s="10"/>
      <c r="OW153" s="10"/>
      <c r="OX153" s="10"/>
      <c r="OY153" s="10"/>
      <c r="OZ153" s="10"/>
      <c r="PA153" s="10"/>
      <c r="PB153" s="10"/>
      <c r="PC153" s="10"/>
      <c r="PD153" s="10"/>
      <c r="PE153" s="10"/>
      <c r="PF153" s="10"/>
      <c r="PG153" s="10"/>
      <c r="PH153" s="10"/>
      <c r="PI153" s="10"/>
      <c r="PJ153" s="10"/>
      <c r="PK153" s="10"/>
      <c r="PL153" s="10"/>
      <c r="PM153" s="10"/>
      <c r="PN153" s="10"/>
      <c r="PO153" s="10"/>
      <c r="PP153" s="10"/>
      <c r="PQ153" s="10"/>
      <c r="PR153" s="10"/>
      <c r="PS153" s="10"/>
      <c r="PT153" s="10"/>
      <c r="PU153" s="10"/>
      <c r="PV153" s="10"/>
      <c r="PW153" s="10"/>
      <c r="PX153" s="10"/>
      <c r="PY153" s="10"/>
      <c r="PZ153" s="10"/>
      <c r="QA153" s="10"/>
      <c r="QB153" s="10"/>
      <c r="QC153" s="10"/>
      <c r="QD153" s="10"/>
      <c r="QE153" s="10"/>
      <c r="QF153" s="10"/>
      <c r="QG153" s="10"/>
      <c r="QH153" s="10"/>
      <c r="QI153" s="10"/>
      <c r="QJ153" s="10"/>
      <c r="QK153" s="10"/>
      <c r="QL153" s="10"/>
      <c r="QM153" s="10"/>
      <c r="QN153" s="10"/>
      <c r="QO153" s="10"/>
      <c r="QP153" s="10"/>
      <c r="QQ153" s="10"/>
      <c r="QR153" s="10"/>
      <c r="QS153" s="10"/>
      <c r="QT153" s="10"/>
      <c r="QU153" s="10"/>
      <c r="QV153" s="10"/>
      <c r="QW153" s="10"/>
      <c r="QX153" s="10"/>
      <c r="QY153" s="10"/>
      <c r="QZ153" s="10"/>
      <c r="RA153" s="10"/>
      <c r="RB153" s="10"/>
      <c r="RC153" s="10"/>
      <c r="RD153" s="10"/>
      <c r="RE153" s="10"/>
      <c r="RF153" s="10"/>
      <c r="RG153" s="10"/>
      <c r="RH153" s="10"/>
      <c r="RI153" s="10"/>
      <c r="RJ153" s="10"/>
      <c r="RK153" s="10"/>
      <c r="RL153" s="10"/>
      <c r="RM153" s="10"/>
      <c r="RN153" s="10"/>
      <c r="RO153" s="10"/>
      <c r="RP153" s="10"/>
      <c r="RQ153" s="10"/>
      <c r="RR153" s="10"/>
      <c r="RS153" s="10"/>
      <c r="RT153" s="10"/>
      <c r="RU153" s="10"/>
      <c r="RV153" s="10"/>
      <c r="RW153" s="10"/>
      <c r="RX153" s="10"/>
      <c r="RY153" s="10"/>
      <c r="RZ153" s="10"/>
      <c r="SA153" s="10"/>
      <c r="SB153" s="10"/>
      <c r="SC153" s="10"/>
      <c r="SD153" s="10"/>
      <c r="SE153" s="10"/>
      <c r="SF153" s="10"/>
      <c r="SG153" s="10"/>
      <c r="SH153" s="10"/>
      <c r="SI153" s="10"/>
      <c r="SJ153" s="10"/>
      <c r="SK153" s="10"/>
      <c r="SL153" s="10"/>
      <c r="SM153" s="10"/>
      <c r="SN153" s="10"/>
      <c r="SO153" s="10"/>
      <c r="SP153" s="10"/>
      <c r="SQ153" s="10"/>
      <c r="SR153" s="10"/>
      <c r="SS153" s="10"/>
      <c r="ST153" s="10"/>
      <c r="SU153" s="10"/>
      <c r="SV153" s="10"/>
      <c r="SW153" s="10"/>
      <c r="SX153" s="10"/>
      <c r="SY153" s="10"/>
      <c r="SZ153" s="10"/>
      <c r="TA153" s="10"/>
      <c r="TB153" s="10"/>
      <c r="TC153" s="10"/>
      <c r="TD153" s="10"/>
      <c r="TE153" s="10"/>
      <c r="TF153" s="10"/>
      <c r="TG153" s="10"/>
      <c r="TH153" s="10"/>
      <c r="TI153" s="10"/>
      <c r="TJ153" s="10"/>
      <c r="TK153" s="10"/>
      <c r="TL153" s="10"/>
      <c r="TM153" s="10"/>
      <c r="TN153" s="10"/>
      <c r="TO153" s="10"/>
      <c r="TP153" s="10"/>
      <c r="TQ153" s="10"/>
      <c r="TR153" s="10"/>
      <c r="TS153" s="10"/>
      <c r="TT153" s="10"/>
      <c r="TU153" s="10"/>
      <c r="TV153" s="10"/>
      <c r="TW153" s="10"/>
      <c r="TX153" s="10"/>
      <c r="TY153" s="10"/>
      <c r="TZ153" s="10"/>
      <c r="UA153" s="10"/>
      <c r="UB153" s="10"/>
      <c r="UC153" s="10"/>
      <c r="UD153" s="10"/>
      <c r="UE153" s="10"/>
      <c r="UF153" s="10"/>
      <c r="UG153" s="10"/>
      <c r="UH153" s="10"/>
      <c r="UI153" s="10"/>
      <c r="UJ153" s="10"/>
      <c r="UK153" s="10"/>
      <c r="UL153" s="10"/>
      <c r="UM153" s="10"/>
      <c r="UN153" s="10"/>
      <c r="UO153" s="10"/>
      <c r="UP153" s="10"/>
      <c r="UQ153" s="10"/>
      <c r="UR153" s="10"/>
      <c r="US153" s="10"/>
      <c r="UT153" s="10"/>
      <c r="UU153" s="10"/>
      <c r="UV153" s="10"/>
      <c r="UW153" s="10"/>
      <c r="UX153" s="10"/>
      <c r="UY153" s="10"/>
      <c r="UZ153" s="10"/>
      <c r="VA153" s="10"/>
      <c r="VB153" s="10"/>
      <c r="VC153" s="10"/>
      <c r="VD153" s="10"/>
      <c r="VE153" s="10"/>
      <c r="VF153" s="10"/>
      <c r="VG153" s="10"/>
      <c r="VH153" s="10"/>
      <c r="VI153" s="10"/>
      <c r="VJ153" s="10"/>
      <c r="VK153" s="10"/>
      <c r="VL153" s="10"/>
      <c r="VM153" s="10"/>
      <c r="VN153" s="10"/>
      <c r="VO153" s="10"/>
      <c r="VP153" s="10"/>
      <c r="VQ153" s="10"/>
      <c r="VR153" s="10"/>
      <c r="VS153" s="10"/>
      <c r="VT153" s="10"/>
      <c r="VU153" s="10"/>
      <c r="VV153" s="10"/>
      <c r="VW153" s="10"/>
      <c r="VX153" s="10"/>
      <c r="VY153" s="10"/>
      <c r="VZ153" s="10"/>
      <c r="WA153" s="10"/>
      <c r="WB153" s="10"/>
      <c r="WC153" s="10"/>
      <c r="WD153" s="10"/>
      <c r="WE153" s="10"/>
      <c r="WF153" s="10"/>
      <c r="WG153" s="10"/>
      <c r="WH153" s="10"/>
      <c r="WI153" s="10"/>
      <c r="WJ153" s="10"/>
      <c r="WK153" s="10"/>
      <c r="WL153" s="10"/>
      <c r="WM153" s="10"/>
      <c r="WN153" s="10"/>
      <c r="WO153" s="10"/>
      <c r="WP153" s="10"/>
      <c r="WQ153" s="10"/>
      <c r="WR153" s="10"/>
      <c r="WS153" s="10"/>
      <c r="WT153" s="10"/>
      <c r="WU153" s="10"/>
      <c r="WV153" s="10"/>
      <c r="WW153" s="10"/>
      <c r="WX153" s="10"/>
      <c r="WY153" s="10"/>
      <c r="WZ153" s="10"/>
      <c r="XA153" s="10"/>
      <c r="XB153" s="10"/>
      <c r="XC153" s="10"/>
      <c r="XD153" s="10"/>
      <c r="XE153" s="10"/>
      <c r="XF153" s="10"/>
      <c r="XG153" s="10"/>
      <c r="XH153" s="10"/>
      <c r="XI153" s="10"/>
      <c r="XJ153" s="10"/>
      <c r="XK153" s="10"/>
      <c r="XL153" s="10"/>
      <c r="XM153" s="10"/>
      <c r="XN153" s="10"/>
      <c r="XO153" s="10"/>
      <c r="XP153" s="10"/>
      <c r="XQ153" s="10"/>
      <c r="XR153" s="10"/>
      <c r="XS153" s="10"/>
      <c r="XT153" s="10"/>
      <c r="XU153" s="10"/>
      <c r="XV153" s="10"/>
      <c r="XW153" s="10"/>
      <c r="XX153" s="10"/>
      <c r="XY153" s="10"/>
      <c r="XZ153" s="10"/>
      <c r="YA153" s="10"/>
      <c r="YB153" s="10"/>
      <c r="YC153" s="10"/>
      <c r="YD153" s="10"/>
      <c r="YE153" s="10"/>
      <c r="YF153" s="10"/>
      <c r="YG153" s="10"/>
      <c r="YH153" s="10"/>
      <c r="YI153" s="10"/>
      <c r="YJ153" s="10"/>
      <c r="YK153" s="10"/>
      <c r="YL153" s="10"/>
      <c r="YM153" s="10"/>
      <c r="YN153" s="10"/>
      <c r="YO153" s="10"/>
      <c r="YP153" s="10"/>
      <c r="YQ153" s="10"/>
      <c r="YR153" s="10"/>
      <c r="YS153" s="10"/>
      <c r="YT153" s="10"/>
      <c r="YU153" s="10"/>
      <c r="YV153" s="10"/>
      <c r="YW153" s="10"/>
      <c r="YX153" s="10"/>
      <c r="YY153" s="10"/>
      <c r="YZ153" s="10"/>
      <c r="ZA153" s="10"/>
      <c r="ZB153" s="10"/>
      <c r="ZC153" s="10"/>
      <c r="ZD153" s="10"/>
      <c r="ZE153" s="10"/>
      <c r="ZF153" s="10"/>
      <c r="ZG153" s="10"/>
      <c r="ZH153" s="10"/>
      <c r="ZI153" s="10"/>
      <c r="ZJ153" s="10"/>
      <c r="ZK153" s="10"/>
      <c r="ZL153" s="10"/>
      <c r="ZM153" s="10"/>
      <c r="ZN153" s="10"/>
      <c r="ZO153" s="10"/>
      <c r="ZP153" s="10"/>
      <c r="ZQ153" s="10"/>
      <c r="ZR153" s="10"/>
      <c r="ZS153" s="10"/>
      <c r="ZT153" s="10"/>
      <c r="ZU153" s="10"/>
      <c r="ZV153" s="10"/>
      <c r="ZW153" s="10"/>
      <c r="ZX153" s="10"/>
      <c r="ZY153" s="10"/>
      <c r="ZZ153" s="10"/>
      <c r="AAA153" s="10"/>
      <c r="AAB153" s="10"/>
      <c r="AAC153" s="10"/>
      <c r="AAD153" s="10"/>
      <c r="AAE153" s="10"/>
      <c r="AAF153" s="10"/>
      <c r="AAG153" s="10"/>
      <c r="AAH153" s="10"/>
      <c r="AAI153" s="10"/>
      <c r="AAJ153" s="10"/>
      <c r="AAK153" s="10"/>
      <c r="AAL153" s="10"/>
      <c r="AAM153" s="10"/>
      <c r="AAN153" s="10"/>
      <c r="AAO153" s="10"/>
      <c r="AAP153" s="10"/>
      <c r="AAQ153" s="10"/>
      <c r="AAR153" s="10"/>
      <c r="AAS153" s="10"/>
      <c r="AAT153" s="10"/>
      <c r="AAU153" s="10"/>
      <c r="AAV153" s="10"/>
      <c r="AAW153" s="10"/>
      <c r="AAX153" s="10"/>
      <c r="AAY153" s="10"/>
      <c r="AAZ153" s="10"/>
      <c r="ABA153" s="10"/>
      <c r="ABB153" s="10"/>
      <c r="ABC153" s="10"/>
      <c r="ABD153" s="10"/>
      <c r="ABE153" s="10"/>
      <c r="ABF153" s="10"/>
      <c r="ABG153" s="10"/>
      <c r="ABH153" s="10"/>
      <c r="ABI153" s="10"/>
      <c r="ABJ153" s="10"/>
      <c r="ABK153" s="10"/>
      <c r="ABL153" s="10"/>
      <c r="ABM153" s="10"/>
      <c r="ABN153" s="10"/>
      <c r="ABO153" s="10"/>
      <c r="ABP153" s="10"/>
      <c r="ABQ153" s="10"/>
      <c r="ABR153" s="10"/>
      <c r="ABS153" s="10"/>
      <c r="ABT153" s="10"/>
      <c r="ABU153" s="10"/>
      <c r="ABV153" s="10"/>
      <c r="ABW153" s="10"/>
      <c r="ABX153" s="10"/>
      <c r="ABY153" s="10"/>
      <c r="ABZ153" s="10"/>
      <c r="ACA153" s="10"/>
      <c r="ACB153" s="10"/>
      <c r="ACC153" s="10"/>
      <c r="ACD153" s="10"/>
      <c r="ACE153" s="10"/>
      <c r="ACF153" s="10"/>
      <c r="ACG153" s="10"/>
      <c r="ACH153" s="10"/>
      <c r="ACI153" s="10"/>
      <c r="ACJ153" s="10"/>
      <c r="ACK153" s="10"/>
      <c r="ACL153" s="10"/>
      <c r="ACM153" s="10"/>
      <c r="ACN153" s="10"/>
      <c r="ACO153" s="10"/>
      <c r="ACP153" s="10"/>
      <c r="ACQ153" s="10"/>
      <c r="ACR153" s="10"/>
      <c r="ACS153" s="10"/>
      <c r="ACT153" s="10"/>
      <c r="ACU153" s="10"/>
      <c r="ACV153" s="10"/>
      <c r="ACW153" s="10"/>
      <c r="ACX153" s="10"/>
      <c r="ACY153" s="10"/>
      <c r="ACZ153" s="10"/>
      <c r="ADA153" s="10"/>
      <c r="ADB153" s="10"/>
      <c r="ADC153" s="10"/>
      <c r="ADD153" s="10"/>
      <c r="ADE153" s="10"/>
      <c r="ADF153" s="10"/>
      <c r="ADG153" s="10"/>
      <c r="ADH153" s="10"/>
      <c r="ADI153" s="10"/>
      <c r="ADJ153" s="10"/>
      <c r="ADK153" s="10"/>
      <c r="ADL153" s="10"/>
      <c r="ADM153" s="10"/>
      <c r="ADN153" s="10"/>
      <c r="ADO153" s="10"/>
      <c r="ADP153" s="10"/>
      <c r="ADQ153" s="10"/>
      <c r="ADR153" s="10"/>
      <c r="ADS153" s="10"/>
      <c r="ADT153" s="10"/>
      <c r="ADU153" s="10"/>
      <c r="ADV153" s="10"/>
      <c r="ADW153" s="10"/>
      <c r="ADX153" s="10"/>
      <c r="ADY153" s="10"/>
      <c r="ADZ153" s="10"/>
      <c r="AEA153" s="10"/>
      <c r="AEB153" s="10"/>
      <c r="AEC153" s="10"/>
      <c r="AED153" s="10"/>
      <c r="AEE153" s="10"/>
      <c r="AEF153" s="10"/>
      <c r="AEG153" s="10"/>
      <c r="AEH153" s="10"/>
      <c r="AEI153" s="10"/>
      <c r="AEJ153" s="10"/>
      <c r="AEK153" s="10"/>
      <c r="AEL153" s="10"/>
      <c r="AEM153" s="10"/>
      <c r="AEN153" s="10"/>
      <c r="AEO153" s="10"/>
      <c r="AEP153" s="10"/>
      <c r="AEQ153" s="10"/>
      <c r="AER153" s="10"/>
      <c r="AES153" s="10"/>
      <c r="AET153" s="10"/>
      <c r="AEU153" s="10"/>
      <c r="AEV153" s="10"/>
      <c r="AEW153" s="10"/>
      <c r="AEX153" s="10"/>
      <c r="AEY153" s="10"/>
      <c r="AEZ153" s="10"/>
      <c r="AFA153" s="10"/>
      <c r="AFB153" s="10"/>
      <c r="AFC153" s="10"/>
      <c r="AFD153" s="10"/>
      <c r="AFE153" s="10"/>
      <c r="AFF153" s="10"/>
      <c r="AFG153" s="10"/>
      <c r="AFH153" s="10"/>
      <c r="AFI153" s="10"/>
      <c r="AFJ153" s="10"/>
      <c r="AFK153" s="10"/>
      <c r="AFL153" s="10"/>
      <c r="AFM153" s="10"/>
      <c r="AFN153" s="10"/>
      <c r="AFO153" s="10"/>
      <c r="AFP153" s="10"/>
      <c r="AFQ153" s="10"/>
      <c r="AFR153" s="10"/>
      <c r="AFS153" s="10"/>
      <c r="AFT153" s="10"/>
      <c r="AFU153" s="10"/>
      <c r="AFV153" s="10"/>
      <c r="AFW153" s="10"/>
      <c r="AFX153" s="10"/>
      <c r="AFY153" s="10"/>
      <c r="AFZ153" s="10"/>
      <c r="AGA153" s="10"/>
      <c r="AGB153" s="10"/>
      <c r="AGC153" s="10"/>
      <c r="AGD153" s="10"/>
      <c r="AGE153" s="10"/>
      <c r="AGF153" s="10"/>
      <c r="AGG153" s="10"/>
      <c r="AGH153" s="10"/>
      <c r="AGI153" s="10"/>
      <c r="AGJ153" s="10"/>
      <c r="AGK153" s="10"/>
      <c r="AGL153" s="10"/>
      <c r="AGM153" s="10"/>
      <c r="AGN153" s="10"/>
      <c r="AGO153" s="10"/>
      <c r="AGP153" s="10"/>
      <c r="AGQ153" s="10"/>
      <c r="AGR153" s="10"/>
      <c r="AGS153" s="10"/>
      <c r="AGT153" s="10"/>
      <c r="AGU153" s="10"/>
      <c r="AGV153" s="10"/>
      <c r="AGW153" s="10"/>
      <c r="AGX153" s="10"/>
      <c r="AGY153" s="10"/>
      <c r="AGZ153" s="10"/>
      <c r="AHA153" s="10"/>
      <c r="AHB153" s="10"/>
      <c r="AHC153" s="10"/>
      <c r="AHD153" s="10"/>
      <c r="AHE153" s="10"/>
      <c r="AHF153" s="10"/>
      <c r="AHG153" s="10"/>
      <c r="AHH153" s="10"/>
      <c r="AHI153" s="10"/>
      <c r="AHJ153" s="10"/>
      <c r="AHK153" s="10"/>
      <c r="AHL153" s="10"/>
      <c r="AHM153" s="10"/>
      <c r="AHN153" s="10"/>
      <c r="AHO153" s="10"/>
      <c r="AHP153" s="10"/>
      <c r="AHQ153" s="10"/>
      <c r="AHR153" s="10"/>
      <c r="AHS153" s="10"/>
      <c r="AHT153" s="10"/>
      <c r="AHU153" s="10"/>
      <c r="AHV153" s="10"/>
      <c r="AHW153" s="10"/>
      <c r="AHX153" s="10"/>
      <c r="AHY153" s="10"/>
      <c r="AHZ153" s="10"/>
      <c r="AIA153" s="10"/>
      <c r="AIB153" s="10"/>
      <c r="AIC153" s="10"/>
      <c r="AID153" s="10"/>
      <c r="AIE153" s="10"/>
      <c r="AIF153" s="10"/>
      <c r="AIG153" s="10"/>
      <c r="AIH153" s="10"/>
      <c r="AII153" s="10"/>
      <c r="AIJ153" s="10"/>
      <c r="AIK153" s="10"/>
      <c r="AIL153" s="10"/>
      <c r="AIM153" s="10"/>
      <c r="AIN153" s="10"/>
      <c r="AIO153" s="10"/>
      <c r="AIP153" s="10"/>
      <c r="AIQ153" s="10"/>
      <c r="AIR153" s="10"/>
      <c r="AIS153" s="10"/>
      <c r="AIT153" s="10"/>
      <c r="AIU153" s="10"/>
      <c r="AIV153" s="10"/>
      <c r="AIW153" s="10"/>
      <c r="AIX153" s="10"/>
      <c r="AIY153" s="10"/>
      <c r="AIZ153" s="10"/>
      <c r="AJA153" s="10"/>
      <c r="AJB153" s="10"/>
      <c r="AJC153" s="10"/>
      <c r="AJD153" s="10"/>
      <c r="AJE153" s="10"/>
      <c r="AJF153" s="10"/>
      <c r="AJG153" s="10"/>
      <c r="AJH153" s="10"/>
      <c r="AJI153" s="10"/>
      <c r="AJJ153" s="10"/>
      <c r="AJK153" s="10"/>
      <c r="AJL153" s="10"/>
      <c r="AJM153" s="10"/>
      <c r="AJN153" s="10"/>
      <c r="AJO153" s="10"/>
      <c r="AJP153" s="10"/>
      <c r="AJQ153" s="10"/>
      <c r="AJR153" s="10"/>
      <c r="AJS153" s="10"/>
      <c r="AJT153" s="10"/>
      <c r="AJU153" s="10"/>
      <c r="AJV153" s="10"/>
      <c r="AJW153" s="10"/>
      <c r="AJX153" s="10"/>
      <c r="AJY153" s="10"/>
      <c r="AJZ153" s="10"/>
      <c r="AKA153" s="10"/>
      <c r="AKB153" s="10"/>
      <c r="AKC153" s="10"/>
      <c r="AKD153" s="10"/>
      <c r="AKE153" s="10"/>
      <c r="AKF153" s="10"/>
      <c r="AKG153" s="10"/>
      <c r="AKH153" s="10"/>
      <c r="AKI153" s="10"/>
      <c r="AKJ153" s="10"/>
      <c r="AKK153" s="10"/>
      <c r="AKL153" s="10"/>
      <c r="AKM153" s="10"/>
      <c r="AKN153" s="10"/>
      <c r="AKO153" s="10"/>
      <c r="AKP153" s="10"/>
      <c r="AKQ153" s="10"/>
      <c r="AKR153" s="10"/>
      <c r="AKS153" s="10"/>
      <c r="AKT153" s="10"/>
      <c r="AKU153" s="10"/>
      <c r="AKV153" s="10"/>
      <c r="AKW153" s="10"/>
      <c r="AKX153" s="10"/>
      <c r="AKY153" s="10"/>
      <c r="AKZ153" s="10"/>
      <c r="ALA153" s="10"/>
      <c r="ALB153" s="10"/>
      <c r="ALC153" s="10"/>
      <c r="ALD153" s="10"/>
      <c r="ALE153" s="10"/>
      <c r="ALF153" s="10"/>
      <c r="ALG153" s="10"/>
      <c r="ALH153" s="10"/>
      <c r="ALI153" s="10"/>
      <c r="ALJ153" s="10"/>
      <c r="ALK153" s="10"/>
      <c r="ALL153" s="10"/>
      <c r="ALM153" s="10"/>
      <c r="ALN153" s="10"/>
      <c r="ALO153" s="10"/>
      <c r="ALP153" s="10"/>
      <c r="ALQ153" s="10"/>
      <c r="ALR153" s="10"/>
      <c r="ALS153" s="10"/>
      <c r="ALT153" s="10"/>
      <c r="ALU153" s="10"/>
      <c r="ALV153" s="10"/>
      <c r="ALW153" s="10"/>
      <c r="ALX153" s="10"/>
      <c r="ALY153" s="10"/>
      <c r="ALZ153" s="10"/>
      <c r="AMA153" s="10"/>
      <c r="AMB153" s="10"/>
      <c r="AMC153" s="10"/>
      <c r="AMD153" s="10"/>
      <c r="AME153" s="10"/>
      <c r="AMF153" s="10"/>
      <c r="AMG153" s="10"/>
      <c r="AMH153" s="10"/>
      <c r="AMI153" s="10"/>
      <c r="AMJ153" s="10"/>
      <c r="AMK153" s="10"/>
      <c r="AML153" s="10"/>
      <c r="AMM153" s="10"/>
      <c r="AMN153" s="10"/>
      <c r="AMO153" s="10"/>
    </row>
    <row r="154" spans="1:1029" s="4" customFormat="1" ht="60" x14ac:dyDescent="0.25">
      <c r="A154" s="2">
        <v>119</v>
      </c>
      <c r="B154" s="2" t="s">
        <v>387</v>
      </c>
      <c r="C154" s="2" t="s">
        <v>523</v>
      </c>
      <c r="D154" s="2">
        <v>4</v>
      </c>
      <c r="E154" s="2" t="s">
        <v>573</v>
      </c>
      <c r="F154" s="2" t="s">
        <v>567</v>
      </c>
      <c r="G154" s="2" t="s">
        <v>555</v>
      </c>
      <c r="H154" s="2">
        <v>1</v>
      </c>
      <c r="I154" s="2" t="s">
        <v>628</v>
      </c>
      <c r="J154" s="2" t="s">
        <v>617</v>
      </c>
      <c r="K154" s="2" t="s">
        <v>5</v>
      </c>
    </row>
    <row r="155" spans="1:1029" s="4" customFormat="1" ht="30" x14ac:dyDescent="0.25">
      <c r="A155" s="2">
        <v>120</v>
      </c>
      <c r="B155" s="2" t="s">
        <v>1110</v>
      </c>
      <c r="C155" s="2" t="s">
        <v>523</v>
      </c>
      <c r="D155" s="2">
        <v>4</v>
      </c>
      <c r="E155" s="2" t="s">
        <v>573</v>
      </c>
      <c r="F155" s="2" t="s">
        <v>567</v>
      </c>
      <c r="G155" s="2" t="s">
        <v>555</v>
      </c>
      <c r="H155" s="2">
        <v>1</v>
      </c>
      <c r="I155" s="2" t="s">
        <v>628</v>
      </c>
      <c r="J155" s="2" t="s">
        <v>617</v>
      </c>
      <c r="K155" s="2" t="s">
        <v>5</v>
      </c>
    </row>
    <row r="156" spans="1:1029" s="4" customFormat="1" ht="30" x14ac:dyDescent="0.25">
      <c r="A156" s="2">
        <v>121</v>
      </c>
      <c r="B156" s="2" t="s">
        <v>146</v>
      </c>
      <c r="C156" s="2" t="s">
        <v>523</v>
      </c>
      <c r="D156" s="2">
        <v>4</v>
      </c>
      <c r="E156" s="2" t="s">
        <v>573</v>
      </c>
      <c r="F156" s="2" t="s">
        <v>567</v>
      </c>
      <c r="G156" s="2" t="s">
        <v>555</v>
      </c>
      <c r="H156" s="2">
        <v>1</v>
      </c>
      <c r="I156" s="2" t="s">
        <v>628</v>
      </c>
      <c r="J156" s="2" t="s">
        <v>617</v>
      </c>
      <c r="K156" s="2" t="s">
        <v>5</v>
      </c>
    </row>
    <row r="157" spans="1:1029" s="4" customFormat="1" ht="30" x14ac:dyDescent="0.25">
      <c r="A157" s="2">
        <v>122</v>
      </c>
      <c r="B157" s="2" t="s">
        <v>388</v>
      </c>
      <c r="C157" s="2" t="s">
        <v>523</v>
      </c>
      <c r="D157" s="2">
        <v>4</v>
      </c>
      <c r="E157" s="2" t="s">
        <v>573</v>
      </c>
      <c r="F157" s="2" t="s">
        <v>567</v>
      </c>
      <c r="G157" s="2" t="s">
        <v>555</v>
      </c>
      <c r="H157" s="2">
        <v>1</v>
      </c>
      <c r="I157" s="2" t="s">
        <v>628</v>
      </c>
      <c r="J157" s="2" t="s">
        <v>617</v>
      </c>
      <c r="K157" s="2" t="s">
        <v>5</v>
      </c>
    </row>
    <row r="158" spans="1:1029" s="4" customFormat="1" ht="30" x14ac:dyDescent="0.25">
      <c r="A158" s="2">
        <v>123</v>
      </c>
      <c r="B158" s="2" t="s">
        <v>147</v>
      </c>
      <c r="C158" s="2" t="s">
        <v>523</v>
      </c>
      <c r="D158" s="2">
        <v>4</v>
      </c>
      <c r="E158" s="2" t="s">
        <v>573</v>
      </c>
      <c r="F158" s="2" t="s">
        <v>567</v>
      </c>
      <c r="G158" s="2" t="s">
        <v>555</v>
      </c>
      <c r="H158" s="2">
        <v>1</v>
      </c>
      <c r="I158" s="2" t="s">
        <v>628</v>
      </c>
      <c r="J158" s="2" t="s">
        <v>617</v>
      </c>
      <c r="K158" s="2" t="s">
        <v>5</v>
      </c>
    </row>
    <row r="159" spans="1:1029" s="4" customFormat="1" ht="60" x14ac:dyDescent="0.25">
      <c r="A159" s="2">
        <v>124</v>
      </c>
      <c r="B159" s="2" t="s">
        <v>300</v>
      </c>
      <c r="C159" s="2" t="s">
        <v>523</v>
      </c>
      <c r="D159" s="2">
        <v>4</v>
      </c>
      <c r="E159" s="2" t="s">
        <v>573</v>
      </c>
      <c r="F159" s="2" t="s">
        <v>567</v>
      </c>
      <c r="G159" s="2" t="s">
        <v>555</v>
      </c>
      <c r="H159" s="2">
        <v>1</v>
      </c>
      <c r="I159" s="2" t="s">
        <v>628</v>
      </c>
      <c r="J159" s="2" t="s">
        <v>617</v>
      </c>
      <c r="K159" s="2" t="s">
        <v>5</v>
      </c>
    </row>
    <row r="160" spans="1:1029" s="4" customFormat="1" ht="30" x14ac:dyDescent="0.25">
      <c r="A160" s="2">
        <v>125</v>
      </c>
      <c r="B160" s="2" t="s">
        <v>299</v>
      </c>
      <c r="C160" s="2" t="s">
        <v>523</v>
      </c>
      <c r="D160" s="2">
        <v>4</v>
      </c>
      <c r="E160" s="2" t="s">
        <v>573</v>
      </c>
      <c r="F160" s="2" t="s">
        <v>567</v>
      </c>
      <c r="G160" s="2" t="s">
        <v>555</v>
      </c>
      <c r="H160" s="2">
        <v>1</v>
      </c>
      <c r="I160" s="2" t="s">
        <v>628</v>
      </c>
      <c r="J160" s="2" t="s">
        <v>617</v>
      </c>
      <c r="K160" s="2" t="s">
        <v>5</v>
      </c>
    </row>
    <row r="161" spans="1:11" s="4" customFormat="1" ht="30" x14ac:dyDescent="0.25">
      <c r="A161" s="2">
        <v>126</v>
      </c>
      <c r="B161" s="2" t="s">
        <v>148</v>
      </c>
      <c r="C161" s="2" t="s">
        <v>523</v>
      </c>
      <c r="D161" s="2">
        <v>4</v>
      </c>
      <c r="E161" s="2" t="s">
        <v>573</v>
      </c>
      <c r="F161" s="2" t="s">
        <v>567</v>
      </c>
      <c r="G161" s="2" t="s">
        <v>555</v>
      </c>
      <c r="H161" s="2">
        <v>1</v>
      </c>
      <c r="I161" s="2" t="s">
        <v>628</v>
      </c>
      <c r="J161" s="2" t="s">
        <v>617</v>
      </c>
      <c r="K161" s="2" t="s">
        <v>5</v>
      </c>
    </row>
    <row r="162" spans="1:11" s="4" customFormat="1" ht="30" x14ac:dyDescent="0.25">
      <c r="A162" s="2">
        <v>127</v>
      </c>
      <c r="B162" s="2" t="s">
        <v>149</v>
      </c>
      <c r="C162" s="2" t="s">
        <v>523</v>
      </c>
      <c r="D162" s="2">
        <v>4</v>
      </c>
      <c r="E162" s="2" t="s">
        <v>573</v>
      </c>
      <c r="F162" s="2" t="s">
        <v>567</v>
      </c>
      <c r="G162" s="2" t="s">
        <v>555</v>
      </c>
      <c r="H162" s="2">
        <v>1</v>
      </c>
      <c r="I162" s="2" t="s">
        <v>628</v>
      </c>
      <c r="J162" s="2" t="s">
        <v>617</v>
      </c>
      <c r="K162" s="2" t="s">
        <v>5</v>
      </c>
    </row>
    <row r="163" spans="1:11" s="4" customFormat="1" ht="30" x14ac:dyDescent="0.25">
      <c r="A163" s="2">
        <v>128</v>
      </c>
      <c r="B163" s="2" t="s">
        <v>301</v>
      </c>
      <c r="C163" s="2" t="s">
        <v>523</v>
      </c>
      <c r="D163" s="2">
        <v>4</v>
      </c>
      <c r="E163" s="2" t="s">
        <v>573</v>
      </c>
      <c r="F163" s="2" t="s">
        <v>567</v>
      </c>
      <c r="G163" s="2" t="s">
        <v>555</v>
      </c>
      <c r="H163" s="2">
        <v>1</v>
      </c>
      <c r="I163" s="2" t="s">
        <v>628</v>
      </c>
      <c r="J163" s="2" t="s">
        <v>617</v>
      </c>
      <c r="K163" s="2" t="s">
        <v>5</v>
      </c>
    </row>
    <row r="164" spans="1:11" s="4" customFormat="1" ht="45" x14ac:dyDescent="0.25">
      <c r="A164" s="2">
        <v>129</v>
      </c>
      <c r="B164" s="2" t="s">
        <v>150</v>
      </c>
      <c r="C164" s="2" t="s">
        <v>523</v>
      </c>
      <c r="D164" s="2">
        <v>4</v>
      </c>
      <c r="E164" s="2" t="s">
        <v>573</v>
      </c>
      <c r="F164" s="2" t="s">
        <v>567</v>
      </c>
      <c r="G164" s="2" t="s">
        <v>555</v>
      </c>
      <c r="H164" s="2">
        <v>1</v>
      </c>
      <c r="I164" s="2" t="s">
        <v>628</v>
      </c>
      <c r="J164" s="2" t="s">
        <v>617</v>
      </c>
      <c r="K164" s="2" t="s">
        <v>5</v>
      </c>
    </row>
    <row r="165" spans="1:11" s="4" customFormat="1" ht="90" x14ac:dyDescent="0.25">
      <c r="A165" s="2">
        <v>130</v>
      </c>
      <c r="B165" s="2" t="s">
        <v>151</v>
      </c>
      <c r="C165" s="2" t="s">
        <v>523</v>
      </c>
      <c r="D165" s="2">
        <v>4</v>
      </c>
      <c r="E165" s="2" t="s">
        <v>573</v>
      </c>
      <c r="F165" s="2" t="s">
        <v>567</v>
      </c>
      <c r="G165" s="2" t="s">
        <v>555</v>
      </c>
      <c r="H165" s="2">
        <v>1</v>
      </c>
      <c r="I165" s="2" t="s">
        <v>628</v>
      </c>
      <c r="J165" s="2" t="s">
        <v>617</v>
      </c>
      <c r="K165" s="2" t="s">
        <v>5</v>
      </c>
    </row>
    <row r="166" spans="1:11" s="4" customFormat="1" ht="30" x14ac:dyDescent="0.25">
      <c r="A166" s="2">
        <v>131</v>
      </c>
      <c r="B166" s="2" t="s">
        <v>152</v>
      </c>
      <c r="C166" s="2" t="s">
        <v>523</v>
      </c>
      <c r="D166" s="2">
        <v>4</v>
      </c>
      <c r="E166" s="2" t="s">
        <v>573</v>
      </c>
      <c r="F166" s="2" t="s">
        <v>567</v>
      </c>
      <c r="G166" s="2" t="s">
        <v>555</v>
      </c>
      <c r="H166" s="2">
        <v>1</v>
      </c>
      <c r="I166" s="2" t="s">
        <v>628</v>
      </c>
      <c r="J166" s="2" t="s">
        <v>617</v>
      </c>
      <c r="K166" s="2" t="s">
        <v>5</v>
      </c>
    </row>
    <row r="167" spans="1:11" s="4" customFormat="1" ht="30" x14ac:dyDescent="0.25">
      <c r="A167" s="2">
        <v>132</v>
      </c>
      <c r="B167" s="2" t="s">
        <v>302</v>
      </c>
      <c r="C167" s="2" t="s">
        <v>523</v>
      </c>
      <c r="D167" s="2">
        <v>4</v>
      </c>
      <c r="E167" s="2" t="s">
        <v>573</v>
      </c>
      <c r="F167" s="2" t="s">
        <v>567</v>
      </c>
      <c r="G167" s="2" t="s">
        <v>555</v>
      </c>
      <c r="H167" s="2">
        <v>1</v>
      </c>
      <c r="I167" s="2" t="s">
        <v>628</v>
      </c>
      <c r="J167" s="2" t="s">
        <v>617</v>
      </c>
      <c r="K167" s="2" t="s">
        <v>5</v>
      </c>
    </row>
    <row r="168" spans="1:11" s="4" customFormat="1" ht="90" x14ac:dyDescent="0.25">
      <c r="A168" s="2">
        <v>133</v>
      </c>
      <c r="B168" s="2" t="s">
        <v>315</v>
      </c>
      <c r="C168" s="2" t="s">
        <v>523</v>
      </c>
      <c r="D168" s="2">
        <v>4</v>
      </c>
      <c r="E168" s="2" t="s">
        <v>573</v>
      </c>
      <c r="F168" s="2" t="s">
        <v>567</v>
      </c>
      <c r="G168" s="2" t="s">
        <v>555</v>
      </c>
      <c r="H168" s="2">
        <v>1</v>
      </c>
      <c r="I168" s="2" t="s">
        <v>628</v>
      </c>
      <c r="J168" s="2" t="s">
        <v>617</v>
      </c>
      <c r="K168" s="2" t="s">
        <v>5</v>
      </c>
    </row>
    <row r="169" spans="1:11" s="4" customFormat="1" ht="45" x14ac:dyDescent="0.25">
      <c r="A169" s="2">
        <v>134</v>
      </c>
      <c r="B169" s="2" t="s">
        <v>316</v>
      </c>
      <c r="C169" s="2" t="s">
        <v>523</v>
      </c>
      <c r="D169" s="2">
        <v>4</v>
      </c>
      <c r="E169" s="2" t="s">
        <v>573</v>
      </c>
      <c r="F169" s="2" t="s">
        <v>567</v>
      </c>
      <c r="G169" s="2" t="s">
        <v>555</v>
      </c>
      <c r="H169" s="2">
        <v>1</v>
      </c>
      <c r="I169" s="2" t="s">
        <v>628</v>
      </c>
      <c r="J169" s="2" t="s">
        <v>617</v>
      </c>
      <c r="K169" s="2" t="s">
        <v>5</v>
      </c>
    </row>
    <row r="170" spans="1:11" s="4" customFormat="1" ht="30" x14ac:dyDescent="0.25">
      <c r="A170" s="2">
        <v>135</v>
      </c>
      <c r="B170" s="2" t="s">
        <v>1056</v>
      </c>
      <c r="C170" s="2" t="s">
        <v>523</v>
      </c>
      <c r="D170" s="2">
        <v>4</v>
      </c>
      <c r="E170" s="2" t="s">
        <v>573</v>
      </c>
      <c r="F170" s="2" t="s">
        <v>567</v>
      </c>
      <c r="G170" s="2" t="s">
        <v>555</v>
      </c>
      <c r="H170" s="2">
        <v>1</v>
      </c>
      <c r="I170" s="2" t="s">
        <v>628</v>
      </c>
      <c r="J170" s="2" t="s">
        <v>617</v>
      </c>
      <c r="K170" s="2" t="s">
        <v>5</v>
      </c>
    </row>
    <row r="171" spans="1:11" s="4" customFormat="1" ht="45" x14ac:dyDescent="0.25">
      <c r="A171" s="2">
        <v>136</v>
      </c>
      <c r="B171" s="2" t="s">
        <v>374</v>
      </c>
      <c r="C171" s="2" t="s">
        <v>523</v>
      </c>
      <c r="D171" s="2">
        <v>4</v>
      </c>
      <c r="E171" s="2" t="s">
        <v>573</v>
      </c>
      <c r="F171" s="2" t="s">
        <v>567</v>
      </c>
      <c r="G171" s="2" t="s">
        <v>555</v>
      </c>
      <c r="H171" s="2">
        <v>1</v>
      </c>
      <c r="I171" s="2" t="s">
        <v>628</v>
      </c>
      <c r="J171" s="2" t="s">
        <v>617</v>
      </c>
      <c r="K171" s="2" t="s">
        <v>5</v>
      </c>
    </row>
    <row r="172" spans="1:11" s="4" customFormat="1" ht="45" x14ac:dyDescent="0.25">
      <c r="A172" s="2">
        <v>137</v>
      </c>
      <c r="B172" s="2" t="s">
        <v>389</v>
      </c>
      <c r="C172" s="2" t="s">
        <v>523</v>
      </c>
      <c r="D172" s="2">
        <v>4</v>
      </c>
      <c r="E172" s="2" t="s">
        <v>573</v>
      </c>
      <c r="F172" s="2" t="s">
        <v>567</v>
      </c>
      <c r="G172" s="2" t="s">
        <v>555</v>
      </c>
      <c r="H172" s="2">
        <v>1</v>
      </c>
      <c r="I172" s="2" t="s">
        <v>628</v>
      </c>
      <c r="J172" s="2" t="s">
        <v>617</v>
      </c>
      <c r="K172" s="2" t="s">
        <v>5</v>
      </c>
    </row>
    <row r="173" spans="1:11" s="4" customFormat="1" ht="60" x14ac:dyDescent="0.25">
      <c r="A173" s="2">
        <v>138</v>
      </c>
      <c r="B173" s="2" t="s">
        <v>349</v>
      </c>
      <c r="C173" s="2" t="s">
        <v>523</v>
      </c>
      <c r="D173" s="92">
        <v>1</v>
      </c>
      <c r="E173" s="92" t="s">
        <v>572</v>
      </c>
      <c r="F173" s="92" t="s">
        <v>568</v>
      </c>
      <c r="G173" s="2" t="s">
        <v>624</v>
      </c>
      <c r="H173" s="2">
        <v>1</v>
      </c>
      <c r="I173" s="2" t="s">
        <v>1042</v>
      </c>
      <c r="J173" s="2" t="s">
        <v>617</v>
      </c>
      <c r="K173" s="2" t="s">
        <v>5</v>
      </c>
    </row>
    <row r="174" spans="1:11" s="4" customFormat="1" ht="30" x14ac:dyDescent="0.25">
      <c r="A174" s="172">
        <v>139</v>
      </c>
      <c r="B174" s="172" t="s">
        <v>153</v>
      </c>
      <c r="C174" s="172" t="s">
        <v>561</v>
      </c>
      <c r="D174" s="172">
        <v>1</v>
      </c>
      <c r="E174" s="172" t="s">
        <v>572</v>
      </c>
      <c r="F174" s="172" t="s">
        <v>567</v>
      </c>
      <c r="G174" s="172" t="s">
        <v>554</v>
      </c>
      <c r="H174" s="2">
        <v>1</v>
      </c>
      <c r="I174" s="2" t="s">
        <v>662</v>
      </c>
      <c r="J174" s="2" t="s">
        <v>617</v>
      </c>
      <c r="K174" s="2" t="s">
        <v>5</v>
      </c>
    </row>
    <row r="175" spans="1:11" s="4" customFormat="1" ht="75" x14ac:dyDescent="0.25">
      <c r="A175" s="172"/>
      <c r="B175" s="172"/>
      <c r="C175" s="172"/>
      <c r="D175" s="172"/>
      <c r="E175" s="172"/>
      <c r="F175" s="172"/>
      <c r="G175" s="172"/>
      <c r="H175" s="2">
        <v>2</v>
      </c>
      <c r="I175" s="2" t="s">
        <v>629</v>
      </c>
      <c r="J175" s="2" t="s">
        <v>617</v>
      </c>
      <c r="K175" s="2" t="s">
        <v>5</v>
      </c>
    </row>
    <row r="176" spans="1:11" s="15" customFormat="1" ht="48.75" customHeight="1" x14ac:dyDescent="0.25">
      <c r="A176" s="88" t="s">
        <v>1058</v>
      </c>
      <c r="B176" s="173" t="s">
        <v>379</v>
      </c>
      <c r="C176" s="173"/>
      <c r="D176" s="173"/>
      <c r="E176" s="173"/>
      <c r="F176" s="173"/>
      <c r="G176" s="173"/>
      <c r="H176" s="88">
        <v>1</v>
      </c>
      <c r="I176" s="88" t="str">
        <f>"Pelo menos um dos campos de "&amp;A176&amp;" deve ser preenchido"</f>
        <v>Pelo menos um dos campos de 140 a 159 deve ser preenchido</v>
      </c>
      <c r="J176" s="88" t="s">
        <v>617</v>
      </c>
      <c r="K176" s="88" t="s">
        <v>5</v>
      </c>
    </row>
    <row r="177" spans="1:11" s="4" customFormat="1" ht="30" x14ac:dyDescent="0.25">
      <c r="A177" s="2">
        <v>140</v>
      </c>
      <c r="B177" s="2" t="s">
        <v>154</v>
      </c>
      <c r="C177" s="2" t="s">
        <v>561</v>
      </c>
      <c r="D177" s="2">
        <v>1</v>
      </c>
      <c r="E177" s="2" t="s">
        <v>572</v>
      </c>
      <c r="F177" s="2" t="s">
        <v>568</v>
      </c>
      <c r="G177" s="2" t="s">
        <v>538</v>
      </c>
      <c r="H177" s="2">
        <v>1</v>
      </c>
      <c r="I177" s="2" t="s">
        <v>662</v>
      </c>
      <c r="J177" s="2" t="s">
        <v>617</v>
      </c>
      <c r="K177" s="2" t="s">
        <v>5</v>
      </c>
    </row>
    <row r="178" spans="1:11" s="4" customFormat="1" ht="30" x14ac:dyDescent="0.25">
      <c r="A178" s="2">
        <v>141</v>
      </c>
      <c r="B178" s="2" t="s">
        <v>303</v>
      </c>
      <c r="C178" s="2" t="s">
        <v>561</v>
      </c>
      <c r="D178" s="2">
        <v>1</v>
      </c>
      <c r="E178" s="2" t="s">
        <v>572</v>
      </c>
      <c r="F178" s="2" t="s">
        <v>568</v>
      </c>
      <c r="G178" s="2" t="s">
        <v>538</v>
      </c>
      <c r="H178" s="2">
        <v>1</v>
      </c>
      <c r="I178" s="2" t="s">
        <v>662</v>
      </c>
      <c r="J178" s="2" t="s">
        <v>617</v>
      </c>
      <c r="K178" s="2" t="s">
        <v>5</v>
      </c>
    </row>
    <row r="179" spans="1:11" s="4" customFormat="1" ht="30" x14ac:dyDescent="0.25">
      <c r="A179" s="2">
        <v>142</v>
      </c>
      <c r="B179" s="2" t="s">
        <v>155</v>
      </c>
      <c r="C179" s="2" t="s">
        <v>561</v>
      </c>
      <c r="D179" s="2">
        <v>1</v>
      </c>
      <c r="E179" s="2" t="s">
        <v>572</v>
      </c>
      <c r="F179" s="2" t="s">
        <v>568</v>
      </c>
      <c r="G179" s="2" t="s">
        <v>538</v>
      </c>
      <c r="H179" s="2">
        <v>1</v>
      </c>
      <c r="I179" s="2" t="s">
        <v>662</v>
      </c>
      <c r="J179" s="2" t="s">
        <v>617</v>
      </c>
      <c r="K179" s="2" t="s">
        <v>5</v>
      </c>
    </row>
    <row r="180" spans="1:11" s="4" customFormat="1" ht="30" x14ac:dyDescent="0.25">
      <c r="A180" s="2">
        <v>143</v>
      </c>
      <c r="B180" s="2" t="s">
        <v>156</v>
      </c>
      <c r="C180" s="2" t="s">
        <v>561</v>
      </c>
      <c r="D180" s="2">
        <v>1</v>
      </c>
      <c r="E180" s="2" t="s">
        <v>572</v>
      </c>
      <c r="F180" s="2" t="s">
        <v>568</v>
      </c>
      <c r="G180" s="2" t="s">
        <v>538</v>
      </c>
      <c r="H180" s="2">
        <v>1</v>
      </c>
      <c r="I180" s="2" t="s">
        <v>662</v>
      </c>
      <c r="J180" s="2" t="s">
        <v>617</v>
      </c>
      <c r="K180" s="2" t="s">
        <v>5</v>
      </c>
    </row>
    <row r="181" spans="1:11" s="4" customFormat="1" ht="30" x14ac:dyDescent="0.25">
      <c r="A181" s="2">
        <v>144</v>
      </c>
      <c r="B181" s="2" t="s">
        <v>1112</v>
      </c>
      <c r="C181" s="2" t="s">
        <v>561</v>
      </c>
      <c r="D181" s="2">
        <v>1</v>
      </c>
      <c r="E181" s="2" t="s">
        <v>572</v>
      </c>
      <c r="F181" s="2" t="s">
        <v>568</v>
      </c>
      <c r="G181" s="2" t="s">
        <v>538</v>
      </c>
      <c r="H181" s="2">
        <v>1</v>
      </c>
      <c r="I181" s="2" t="s">
        <v>662</v>
      </c>
      <c r="J181" s="2" t="s">
        <v>617</v>
      </c>
      <c r="K181" s="2" t="s">
        <v>5</v>
      </c>
    </row>
    <row r="182" spans="1:11" s="4" customFormat="1" ht="45" x14ac:dyDescent="0.25">
      <c r="A182" s="2">
        <v>145</v>
      </c>
      <c r="B182" s="2" t="s">
        <v>403</v>
      </c>
      <c r="C182" s="2" t="s">
        <v>561</v>
      </c>
      <c r="D182" s="2">
        <v>1</v>
      </c>
      <c r="E182" s="2" t="s">
        <v>572</v>
      </c>
      <c r="F182" s="2" t="s">
        <v>568</v>
      </c>
      <c r="G182" s="2" t="s">
        <v>538</v>
      </c>
      <c r="H182" s="2">
        <v>1</v>
      </c>
      <c r="I182" s="2" t="s">
        <v>662</v>
      </c>
      <c r="J182" s="2" t="s">
        <v>617</v>
      </c>
      <c r="K182" s="2" t="s">
        <v>5</v>
      </c>
    </row>
    <row r="183" spans="1:11" s="4" customFormat="1" ht="30" x14ac:dyDescent="0.25">
      <c r="A183" s="2">
        <v>146</v>
      </c>
      <c r="B183" s="2" t="s">
        <v>157</v>
      </c>
      <c r="C183" s="2" t="s">
        <v>561</v>
      </c>
      <c r="D183" s="2">
        <v>1</v>
      </c>
      <c r="E183" s="2" t="s">
        <v>572</v>
      </c>
      <c r="F183" s="2" t="s">
        <v>568</v>
      </c>
      <c r="G183" s="2" t="s">
        <v>538</v>
      </c>
      <c r="H183" s="2">
        <v>1</v>
      </c>
      <c r="I183" s="2" t="s">
        <v>662</v>
      </c>
      <c r="J183" s="2" t="s">
        <v>617</v>
      </c>
      <c r="K183" s="2" t="s">
        <v>5</v>
      </c>
    </row>
    <row r="184" spans="1:11" s="4" customFormat="1" ht="30" x14ac:dyDescent="0.25">
      <c r="A184" s="2">
        <v>147</v>
      </c>
      <c r="B184" s="2" t="s">
        <v>158</v>
      </c>
      <c r="C184" s="2" t="s">
        <v>561</v>
      </c>
      <c r="D184" s="2">
        <v>1</v>
      </c>
      <c r="E184" s="2" t="s">
        <v>572</v>
      </c>
      <c r="F184" s="2" t="s">
        <v>568</v>
      </c>
      <c r="G184" s="2" t="s">
        <v>538</v>
      </c>
      <c r="H184" s="2">
        <v>1</v>
      </c>
      <c r="I184" s="2" t="s">
        <v>662</v>
      </c>
      <c r="J184" s="2" t="s">
        <v>617</v>
      </c>
      <c r="K184" s="2" t="s">
        <v>5</v>
      </c>
    </row>
    <row r="185" spans="1:11" s="4" customFormat="1" ht="30" x14ac:dyDescent="0.25">
      <c r="A185" s="2">
        <v>148</v>
      </c>
      <c r="B185" s="2" t="s">
        <v>1113</v>
      </c>
      <c r="C185" s="2" t="s">
        <v>561</v>
      </c>
      <c r="D185" s="2">
        <v>1</v>
      </c>
      <c r="E185" s="2" t="s">
        <v>572</v>
      </c>
      <c r="F185" s="2" t="s">
        <v>568</v>
      </c>
      <c r="G185" s="2" t="s">
        <v>538</v>
      </c>
      <c r="H185" s="2">
        <v>1</v>
      </c>
      <c r="I185" s="2" t="s">
        <v>662</v>
      </c>
      <c r="J185" s="2" t="s">
        <v>617</v>
      </c>
      <c r="K185" s="2" t="s">
        <v>5</v>
      </c>
    </row>
    <row r="186" spans="1:11" s="4" customFormat="1" ht="30" x14ac:dyDescent="0.25">
      <c r="A186" s="2">
        <v>149</v>
      </c>
      <c r="B186" s="2" t="s">
        <v>159</v>
      </c>
      <c r="C186" s="2" t="s">
        <v>561</v>
      </c>
      <c r="D186" s="2">
        <v>1</v>
      </c>
      <c r="E186" s="2" t="s">
        <v>572</v>
      </c>
      <c r="F186" s="2" t="s">
        <v>568</v>
      </c>
      <c r="G186" s="2" t="s">
        <v>538</v>
      </c>
      <c r="H186" s="2">
        <v>1</v>
      </c>
      <c r="I186" s="2" t="s">
        <v>662</v>
      </c>
      <c r="J186" s="2" t="s">
        <v>617</v>
      </c>
      <c r="K186" s="2" t="s">
        <v>5</v>
      </c>
    </row>
    <row r="187" spans="1:11" s="4" customFormat="1" ht="30" x14ac:dyDescent="0.25">
      <c r="A187" s="2">
        <v>150</v>
      </c>
      <c r="B187" s="2" t="s">
        <v>1114</v>
      </c>
      <c r="C187" s="2" t="s">
        <v>561</v>
      </c>
      <c r="D187" s="2">
        <v>1</v>
      </c>
      <c r="E187" s="2" t="s">
        <v>572</v>
      </c>
      <c r="F187" s="2" t="s">
        <v>568</v>
      </c>
      <c r="G187" s="2" t="s">
        <v>538</v>
      </c>
      <c r="H187" s="2">
        <v>1</v>
      </c>
      <c r="I187" s="2" t="s">
        <v>662</v>
      </c>
      <c r="J187" s="2" t="s">
        <v>617</v>
      </c>
      <c r="K187" s="2" t="s">
        <v>5</v>
      </c>
    </row>
    <row r="188" spans="1:11" s="4" customFormat="1" ht="30" x14ac:dyDescent="0.25">
      <c r="A188" s="2">
        <v>151</v>
      </c>
      <c r="B188" s="2" t="s">
        <v>336</v>
      </c>
      <c r="C188" s="2" t="s">
        <v>561</v>
      </c>
      <c r="D188" s="2">
        <v>1</v>
      </c>
      <c r="E188" s="2" t="s">
        <v>572</v>
      </c>
      <c r="F188" s="2" t="s">
        <v>568</v>
      </c>
      <c r="G188" s="2" t="s">
        <v>538</v>
      </c>
      <c r="H188" s="2">
        <v>1</v>
      </c>
      <c r="I188" s="2" t="s">
        <v>662</v>
      </c>
      <c r="J188" s="2" t="s">
        <v>617</v>
      </c>
      <c r="K188" s="2" t="s">
        <v>5</v>
      </c>
    </row>
    <row r="189" spans="1:11" s="4" customFormat="1" ht="30" x14ac:dyDescent="0.25">
      <c r="A189" s="2">
        <v>152</v>
      </c>
      <c r="B189" s="2" t="s">
        <v>160</v>
      </c>
      <c r="C189" s="2" t="s">
        <v>561</v>
      </c>
      <c r="D189" s="2">
        <v>1</v>
      </c>
      <c r="E189" s="2" t="s">
        <v>572</v>
      </c>
      <c r="F189" s="2" t="s">
        <v>568</v>
      </c>
      <c r="G189" s="2" t="s">
        <v>538</v>
      </c>
      <c r="H189" s="2">
        <v>1</v>
      </c>
      <c r="I189" s="2" t="s">
        <v>662</v>
      </c>
      <c r="J189" s="2" t="s">
        <v>617</v>
      </c>
      <c r="K189" s="2" t="s">
        <v>5</v>
      </c>
    </row>
    <row r="190" spans="1:11" s="4" customFormat="1" ht="30" x14ac:dyDescent="0.25">
      <c r="A190" s="2">
        <v>153</v>
      </c>
      <c r="B190" s="2" t="s">
        <v>380</v>
      </c>
      <c r="C190" s="2" t="s">
        <v>561</v>
      </c>
      <c r="D190" s="2">
        <v>1</v>
      </c>
      <c r="E190" s="2" t="s">
        <v>572</v>
      </c>
      <c r="F190" s="2" t="s">
        <v>568</v>
      </c>
      <c r="G190" s="2" t="s">
        <v>538</v>
      </c>
      <c r="H190" s="2">
        <v>1</v>
      </c>
      <c r="I190" s="2" t="s">
        <v>662</v>
      </c>
      <c r="J190" s="2" t="s">
        <v>617</v>
      </c>
      <c r="K190" s="2" t="s">
        <v>5</v>
      </c>
    </row>
    <row r="191" spans="1:11" s="4" customFormat="1" ht="30" x14ac:dyDescent="0.25">
      <c r="A191" s="2">
        <v>154</v>
      </c>
      <c r="B191" s="2" t="s">
        <v>161</v>
      </c>
      <c r="C191" s="2" t="s">
        <v>561</v>
      </c>
      <c r="D191" s="2">
        <v>1</v>
      </c>
      <c r="E191" s="2" t="s">
        <v>572</v>
      </c>
      <c r="F191" s="2" t="s">
        <v>568</v>
      </c>
      <c r="G191" s="2" t="s">
        <v>538</v>
      </c>
      <c r="H191" s="2">
        <v>1</v>
      </c>
      <c r="I191" s="2" t="s">
        <v>662</v>
      </c>
      <c r="J191" s="2" t="s">
        <v>617</v>
      </c>
      <c r="K191" s="2" t="s">
        <v>5</v>
      </c>
    </row>
    <row r="192" spans="1:11" s="4" customFormat="1" ht="30" x14ac:dyDescent="0.25">
      <c r="A192" s="2">
        <v>155</v>
      </c>
      <c r="B192" s="2" t="s">
        <v>304</v>
      </c>
      <c r="C192" s="2" t="s">
        <v>561</v>
      </c>
      <c r="D192" s="2">
        <v>1</v>
      </c>
      <c r="E192" s="2" t="s">
        <v>572</v>
      </c>
      <c r="F192" s="2" t="s">
        <v>568</v>
      </c>
      <c r="G192" s="2" t="s">
        <v>538</v>
      </c>
      <c r="H192" s="2">
        <v>1</v>
      </c>
      <c r="I192" s="2" t="s">
        <v>662</v>
      </c>
      <c r="J192" s="2" t="s">
        <v>617</v>
      </c>
      <c r="K192" s="2" t="s">
        <v>5</v>
      </c>
    </row>
    <row r="193" spans="1:11" s="4" customFormat="1" ht="30" x14ac:dyDescent="0.25">
      <c r="A193" s="2">
        <v>156</v>
      </c>
      <c r="B193" s="2" t="s">
        <v>162</v>
      </c>
      <c r="C193" s="2" t="s">
        <v>561</v>
      </c>
      <c r="D193" s="2">
        <v>1</v>
      </c>
      <c r="E193" s="2" t="s">
        <v>572</v>
      </c>
      <c r="F193" s="2" t="s">
        <v>568</v>
      </c>
      <c r="G193" s="2" t="s">
        <v>538</v>
      </c>
      <c r="H193" s="2">
        <v>1</v>
      </c>
      <c r="I193" s="2" t="s">
        <v>662</v>
      </c>
      <c r="J193" s="2" t="s">
        <v>617</v>
      </c>
      <c r="K193" s="2" t="s">
        <v>5</v>
      </c>
    </row>
    <row r="194" spans="1:11" s="4" customFormat="1" ht="30" x14ac:dyDescent="0.25">
      <c r="A194" s="2">
        <v>157</v>
      </c>
      <c r="B194" s="2" t="s">
        <v>404</v>
      </c>
      <c r="C194" s="2" t="s">
        <v>561</v>
      </c>
      <c r="D194" s="2">
        <v>1</v>
      </c>
      <c r="E194" s="2" t="s">
        <v>572</v>
      </c>
      <c r="F194" s="2" t="s">
        <v>568</v>
      </c>
      <c r="G194" s="2" t="s">
        <v>538</v>
      </c>
      <c r="H194" s="2">
        <v>1</v>
      </c>
      <c r="I194" s="2" t="s">
        <v>662</v>
      </c>
      <c r="J194" s="2" t="s">
        <v>617</v>
      </c>
      <c r="K194" s="2" t="s">
        <v>5</v>
      </c>
    </row>
    <row r="195" spans="1:11" s="4" customFormat="1" ht="30" x14ac:dyDescent="0.25">
      <c r="A195" s="2">
        <v>158</v>
      </c>
      <c r="B195" s="2" t="s">
        <v>405</v>
      </c>
      <c r="C195" s="2" t="s">
        <v>561</v>
      </c>
      <c r="D195" s="2">
        <v>1</v>
      </c>
      <c r="E195" s="2" t="s">
        <v>572</v>
      </c>
      <c r="F195" s="2" t="s">
        <v>568</v>
      </c>
      <c r="G195" s="2" t="s">
        <v>538</v>
      </c>
      <c r="H195" s="2">
        <v>1</v>
      </c>
      <c r="I195" s="2" t="s">
        <v>662</v>
      </c>
      <c r="J195" s="2" t="s">
        <v>617</v>
      </c>
      <c r="K195" s="2" t="s">
        <v>5</v>
      </c>
    </row>
    <row r="196" spans="1:11" s="4" customFormat="1" ht="30" x14ac:dyDescent="0.25">
      <c r="A196" s="172">
        <v>159</v>
      </c>
      <c r="B196" s="172" t="s">
        <v>350</v>
      </c>
      <c r="C196" s="172" t="s">
        <v>561</v>
      </c>
      <c r="D196" s="172">
        <v>1</v>
      </c>
      <c r="E196" s="172" t="s">
        <v>572</v>
      </c>
      <c r="F196" s="172" t="s">
        <v>568</v>
      </c>
      <c r="G196" s="172" t="s">
        <v>538</v>
      </c>
      <c r="H196" s="2">
        <v>1</v>
      </c>
      <c r="I196" s="2" t="s">
        <v>662</v>
      </c>
      <c r="J196" s="2" t="s">
        <v>617</v>
      </c>
      <c r="K196" s="2" t="s">
        <v>5</v>
      </c>
    </row>
    <row r="197" spans="1:11" s="4" customFormat="1" ht="45" x14ac:dyDescent="0.25">
      <c r="A197" s="172"/>
      <c r="B197" s="172"/>
      <c r="C197" s="172"/>
      <c r="D197" s="172"/>
      <c r="E197" s="172"/>
      <c r="F197" s="172"/>
      <c r="G197" s="172"/>
      <c r="H197" s="2">
        <v>2</v>
      </c>
      <c r="I197" s="2" t="s">
        <v>1043</v>
      </c>
      <c r="J197" s="2" t="s">
        <v>617</v>
      </c>
      <c r="K197" s="2" t="s">
        <v>5</v>
      </c>
    </row>
    <row r="198" spans="1:11" s="4" customFormat="1" ht="90" x14ac:dyDescent="0.25">
      <c r="A198" s="2">
        <v>160</v>
      </c>
      <c r="B198" s="2" t="s">
        <v>163</v>
      </c>
      <c r="C198" s="2" t="s">
        <v>561</v>
      </c>
      <c r="D198" s="2">
        <v>1</v>
      </c>
      <c r="E198" s="2" t="s">
        <v>572</v>
      </c>
      <c r="F198" s="2" t="s">
        <v>568</v>
      </c>
      <c r="G198" s="2" t="s">
        <v>557</v>
      </c>
      <c r="H198" s="2">
        <v>1</v>
      </c>
      <c r="I198" s="2" t="s">
        <v>912</v>
      </c>
      <c r="J198" s="2" t="s">
        <v>617</v>
      </c>
      <c r="K198" s="2" t="s">
        <v>5</v>
      </c>
    </row>
    <row r="199" spans="1:11" s="4" customFormat="1" ht="75" x14ac:dyDescent="0.25">
      <c r="A199" s="2">
        <v>161</v>
      </c>
      <c r="B199" s="2" t="s">
        <v>164</v>
      </c>
      <c r="C199" s="2" t="s">
        <v>565</v>
      </c>
      <c r="D199" s="2">
        <v>5</v>
      </c>
      <c r="E199" s="2" t="s">
        <v>572</v>
      </c>
      <c r="F199" s="2" t="s">
        <v>567</v>
      </c>
      <c r="G199" s="2" t="s">
        <v>558</v>
      </c>
      <c r="H199" s="2">
        <v>1</v>
      </c>
      <c r="I199" s="2" t="s">
        <v>917</v>
      </c>
      <c r="J199" s="2" t="s">
        <v>617</v>
      </c>
      <c r="K199" s="2" t="s">
        <v>5</v>
      </c>
    </row>
    <row r="200" spans="1:11" s="4" customFormat="1" ht="75" x14ac:dyDescent="0.25">
      <c r="A200" s="2">
        <v>162</v>
      </c>
      <c r="B200" s="2" t="s">
        <v>165</v>
      </c>
      <c r="C200" s="2" t="s">
        <v>565</v>
      </c>
      <c r="D200" s="2">
        <v>5</v>
      </c>
      <c r="E200" s="2" t="s">
        <v>572</v>
      </c>
      <c r="F200" s="2" t="s">
        <v>567</v>
      </c>
      <c r="G200" s="2" t="s">
        <v>558</v>
      </c>
      <c r="H200" s="2">
        <v>1</v>
      </c>
      <c r="I200" s="2" t="s">
        <v>918</v>
      </c>
      <c r="J200" s="2" t="s">
        <v>617</v>
      </c>
      <c r="K200" s="2" t="s">
        <v>5</v>
      </c>
    </row>
    <row r="201" spans="1:11" s="4" customFormat="1" ht="75" x14ac:dyDescent="0.25">
      <c r="A201" s="2">
        <v>163</v>
      </c>
      <c r="B201" s="2" t="s">
        <v>166</v>
      </c>
      <c r="C201" s="2" t="s">
        <v>565</v>
      </c>
      <c r="D201" s="2">
        <v>5</v>
      </c>
      <c r="E201" s="2" t="s">
        <v>572</v>
      </c>
      <c r="F201" s="2" t="s">
        <v>567</v>
      </c>
      <c r="G201" s="2" t="s">
        <v>558</v>
      </c>
      <c r="H201" s="2">
        <v>1</v>
      </c>
      <c r="I201" s="2" t="s">
        <v>918</v>
      </c>
      <c r="J201" s="2" t="s">
        <v>617</v>
      </c>
      <c r="K201" s="2" t="s">
        <v>5</v>
      </c>
    </row>
    <row r="202" spans="1:11" s="4" customFormat="1" ht="60" x14ac:dyDescent="0.25">
      <c r="A202" s="2">
        <v>164</v>
      </c>
      <c r="B202" s="2" t="s">
        <v>1217</v>
      </c>
      <c r="C202" s="2" t="s">
        <v>561</v>
      </c>
      <c r="D202" s="2">
        <v>1</v>
      </c>
      <c r="E202" s="2" t="s">
        <v>572</v>
      </c>
      <c r="F202" s="2" t="s">
        <v>568</v>
      </c>
      <c r="G202" s="2" t="s">
        <v>538</v>
      </c>
      <c r="H202" s="2">
        <v>1</v>
      </c>
      <c r="I202" s="2" t="s">
        <v>662</v>
      </c>
      <c r="J202" s="2" t="s">
        <v>617</v>
      </c>
      <c r="K202" s="2" t="s">
        <v>5</v>
      </c>
    </row>
    <row r="203" spans="1:11" s="15" customFormat="1" ht="95.25" customHeight="1" x14ac:dyDescent="0.25">
      <c r="A203" s="88" t="s">
        <v>1059</v>
      </c>
      <c r="B203" s="173" t="s">
        <v>167</v>
      </c>
      <c r="C203" s="173"/>
      <c r="D203" s="173"/>
      <c r="E203" s="173"/>
      <c r="F203" s="173"/>
      <c r="G203" s="173"/>
      <c r="H203" s="88">
        <v>1</v>
      </c>
      <c r="I203" s="88" t="str">
        <f>"Pelo menos um dos campos de "&amp;A203&amp;" deve ser 1 quando [A escola faz exame de seleção para ingresso de seus aluno(a)s (avaliação por prova e /ou analise curricular)] for 1"</f>
        <v>Pelo menos um dos campos de 165 a 170 deve ser 1 quando [A escola faz exame de seleção para ingresso de seus aluno(a)s (avaliação por prova e /ou analise curricular)] for 1</v>
      </c>
      <c r="J203" s="88" t="s">
        <v>617</v>
      </c>
      <c r="K203" s="88" t="s">
        <v>5</v>
      </c>
    </row>
    <row r="204" spans="1:11" s="4" customFormat="1" ht="90" x14ac:dyDescent="0.25">
      <c r="A204" s="2">
        <v>165</v>
      </c>
      <c r="B204" s="2" t="s">
        <v>168</v>
      </c>
      <c r="C204" s="2" t="s">
        <v>565</v>
      </c>
      <c r="D204" s="2">
        <v>1</v>
      </c>
      <c r="E204" s="2" t="s">
        <v>572</v>
      </c>
      <c r="F204" s="2" t="s">
        <v>568</v>
      </c>
      <c r="G204" s="2" t="s">
        <v>538</v>
      </c>
      <c r="H204" s="2">
        <v>1</v>
      </c>
      <c r="I204" s="2" t="s">
        <v>919</v>
      </c>
      <c r="J204" s="2" t="s">
        <v>617</v>
      </c>
      <c r="K204" s="2" t="s">
        <v>5</v>
      </c>
    </row>
    <row r="205" spans="1:11" s="4" customFormat="1" ht="90" x14ac:dyDescent="0.25">
      <c r="A205" s="2">
        <v>166</v>
      </c>
      <c r="B205" s="2" t="s">
        <v>305</v>
      </c>
      <c r="C205" s="2" t="s">
        <v>565</v>
      </c>
      <c r="D205" s="2">
        <v>1</v>
      </c>
      <c r="E205" s="2" t="s">
        <v>572</v>
      </c>
      <c r="F205" s="2" t="s">
        <v>568</v>
      </c>
      <c r="G205" s="2" t="s">
        <v>538</v>
      </c>
      <c r="H205" s="2">
        <v>1</v>
      </c>
      <c r="I205" s="2" t="s">
        <v>919</v>
      </c>
      <c r="J205" s="2" t="s">
        <v>617</v>
      </c>
      <c r="K205" s="2" t="s">
        <v>5</v>
      </c>
    </row>
    <row r="206" spans="1:11" s="4" customFormat="1" ht="90" x14ac:dyDescent="0.25">
      <c r="A206" s="2">
        <v>167</v>
      </c>
      <c r="B206" s="2" t="s">
        <v>169</v>
      </c>
      <c r="C206" s="2" t="s">
        <v>565</v>
      </c>
      <c r="D206" s="2">
        <v>1</v>
      </c>
      <c r="E206" s="2" t="s">
        <v>572</v>
      </c>
      <c r="F206" s="2" t="s">
        <v>568</v>
      </c>
      <c r="G206" s="2" t="s">
        <v>538</v>
      </c>
      <c r="H206" s="2">
        <v>1</v>
      </c>
      <c r="I206" s="2" t="s">
        <v>919</v>
      </c>
      <c r="J206" s="2" t="s">
        <v>617</v>
      </c>
      <c r="K206" s="2" t="s">
        <v>5</v>
      </c>
    </row>
    <row r="207" spans="1:11" s="4" customFormat="1" ht="90" x14ac:dyDescent="0.25">
      <c r="A207" s="2">
        <v>168</v>
      </c>
      <c r="B207" s="2" t="s">
        <v>170</v>
      </c>
      <c r="C207" s="2" t="s">
        <v>565</v>
      </c>
      <c r="D207" s="2">
        <v>1</v>
      </c>
      <c r="E207" s="2" t="s">
        <v>572</v>
      </c>
      <c r="F207" s="2" t="s">
        <v>568</v>
      </c>
      <c r="G207" s="2" t="s">
        <v>538</v>
      </c>
      <c r="H207" s="2">
        <v>1</v>
      </c>
      <c r="I207" s="2" t="s">
        <v>919</v>
      </c>
      <c r="J207" s="2" t="s">
        <v>617</v>
      </c>
      <c r="K207" s="2" t="s">
        <v>5</v>
      </c>
    </row>
    <row r="208" spans="1:11" s="4" customFormat="1" ht="90" x14ac:dyDescent="0.25">
      <c r="A208" s="2">
        <v>169</v>
      </c>
      <c r="B208" s="2" t="s">
        <v>171</v>
      </c>
      <c r="C208" s="2" t="s">
        <v>565</v>
      </c>
      <c r="D208" s="2">
        <v>1</v>
      </c>
      <c r="E208" s="2" t="s">
        <v>572</v>
      </c>
      <c r="F208" s="2" t="s">
        <v>568</v>
      </c>
      <c r="G208" s="2" t="s">
        <v>538</v>
      </c>
      <c r="H208" s="2">
        <v>1</v>
      </c>
      <c r="I208" s="2" t="s">
        <v>919</v>
      </c>
      <c r="J208" s="2" t="s">
        <v>617</v>
      </c>
      <c r="K208" s="2" t="s">
        <v>5</v>
      </c>
    </row>
    <row r="209" spans="1:1029" s="4" customFormat="1" ht="90" x14ac:dyDescent="0.25">
      <c r="A209" s="172">
        <v>170</v>
      </c>
      <c r="B209" s="172" t="s">
        <v>172</v>
      </c>
      <c r="C209" s="174" t="s">
        <v>565</v>
      </c>
      <c r="D209" s="172">
        <v>1</v>
      </c>
      <c r="E209" s="172" t="s">
        <v>572</v>
      </c>
      <c r="F209" s="172" t="s">
        <v>568</v>
      </c>
      <c r="G209" s="172" t="s">
        <v>538</v>
      </c>
      <c r="H209" s="2">
        <v>1</v>
      </c>
      <c r="I209" s="2" t="s">
        <v>919</v>
      </c>
      <c r="J209" s="2" t="s">
        <v>617</v>
      </c>
      <c r="K209" s="2" t="s">
        <v>5</v>
      </c>
    </row>
    <row r="210" spans="1:1029" s="4" customFormat="1" ht="45" x14ac:dyDescent="0.25">
      <c r="A210" s="172"/>
      <c r="B210" s="172"/>
      <c r="C210" s="175"/>
      <c r="D210" s="172"/>
      <c r="E210" s="172"/>
      <c r="F210" s="172"/>
      <c r="G210" s="172"/>
      <c r="H210" s="2">
        <v>2</v>
      </c>
      <c r="I210" s="2" t="s">
        <v>1043</v>
      </c>
      <c r="J210" s="2" t="s">
        <v>617</v>
      </c>
      <c r="K210" s="2" t="s">
        <v>5</v>
      </c>
    </row>
    <row r="211" spans="1:1029" s="4" customFormat="1" ht="45" x14ac:dyDescent="0.25">
      <c r="A211" s="2">
        <v>171</v>
      </c>
      <c r="B211" s="2" t="s">
        <v>173</v>
      </c>
      <c r="C211" s="2" t="s">
        <v>561</v>
      </c>
      <c r="D211" s="2">
        <v>1</v>
      </c>
      <c r="E211" s="2" t="s">
        <v>572</v>
      </c>
      <c r="F211" s="2" t="s">
        <v>568</v>
      </c>
      <c r="G211" s="2" t="s">
        <v>538</v>
      </c>
      <c r="H211" s="2">
        <v>1</v>
      </c>
      <c r="I211" s="2" t="s">
        <v>662</v>
      </c>
      <c r="J211" s="2" t="s">
        <v>617</v>
      </c>
      <c r="K211" s="2" t="s">
        <v>5</v>
      </c>
    </row>
    <row r="212" spans="1:1029" s="4" customFormat="1" ht="45" x14ac:dyDescent="0.25">
      <c r="A212" s="2">
        <v>172</v>
      </c>
      <c r="B212" s="2" t="s">
        <v>174</v>
      </c>
      <c r="C212" s="2" t="s">
        <v>561</v>
      </c>
      <c r="D212" s="2">
        <v>1</v>
      </c>
      <c r="E212" s="2" t="s">
        <v>572</v>
      </c>
      <c r="F212" s="2" t="s">
        <v>568</v>
      </c>
      <c r="G212" s="2" t="s">
        <v>538</v>
      </c>
      <c r="H212" s="2">
        <v>1</v>
      </c>
      <c r="I212" s="2" t="s">
        <v>662</v>
      </c>
      <c r="J212" s="2" t="s">
        <v>617</v>
      </c>
      <c r="K212" s="2" t="s">
        <v>5</v>
      </c>
    </row>
    <row r="213" spans="1:1029" s="4" customFormat="1" ht="45" x14ac:dyDescent="0.25">
      <c r="A213" s="2">
        <v>173</v>
      </c>
      <c r="B213" s="2" t="s">
        <v>175</v>
      </c>
      <c r="C213" s="2" t="s">
        <v>561</v>
      </c>
      <c r="D213" s="2">
        <v>1</v>
      </c>
      <c r="E213" s="2" t="s">
        <v>572</v>
      </c>
      <c r="F213" s="2" t="s">
        <v>568</v>
      </c>
      <c r="G213" s="2" t="s">
        <v>538</v>
      </c>
      <c r="H213" s="2">
        <v>1</v>
      </c>
      <c r="I213" s="2" t="s">
        <v>662</v>
      </c>
      <c r="J213" s="2" t="s">
        <v>617</v>
      </c>
      <c r="K213" s="2" t="s">
        <v>5</v>
      </c>
    </row>
    <row r="214" spans="1:1029" s="15" customFormat="1" ht="46.5" customHeight="1" x14ac:dyDescent="0.25">
      <c r="A214" s="88" t="s">
        <v>1060</v>
      </c>
      <c r="B214" s="173" t="s">
        <v>176</v>
      </c>
      <c r="C214" s="173"/>
      <c r="D214" s="173"/>
      <c r="E214" s="173"/>
      <c r="F214" s="173"/>
      <c r="G214" s="173"/>
      <c r="H214" s="88"/>
      <c r="I214" s="88" t="str">
        <f>"Pelo menos um dos campos de "&amp;A214&amp;" deve ser preenchido com 1"</f>
        <v>Pelo menos um dos campos de 174 a 179 deve ser preenchido com 1</v>
      </c>
      <c r="J214" s="88" t="s">
        <v>617</v>
      </c>
      <c r="K214" s="88" t="s">
        <v>5</v>
      </c>
    </row>
    <row r="215" spans="1:1029" s="4" customFormat="1" ht="30" x14ac:dyDescent="0.25">
      <c r="A215" s="2">
        <v>174</v>
      </c>
      <c r="B215" s="2" t="s">
        <v>177</v>
      </c>
      <c r="C215" s="2" t="s">
        <v>561</v>
      </c>
      <c r="D215" s="2">
        <v>1</v>
      </c>
      <c r="E215" s="2" t="s">
        <v>572</v>
      </c>
      <c r="F215" s="2" t="s">
        <v>568</v>
      </c>
      <c r="G215" s="2" t="s">
        <v>538</v>
      </c>
      <c r="H215" s="2">
        <v>1</v>
      </c>
      <c r="I215" s="2" t="s">
        <v>662</v>
      </c>
      <c r="J215" s="2" t="s">
        <v>617</v>
      </c>
      <c r="K215" s="2" t="s">
        <v>5</v>
      </c>
    </row>
    <row r="216" spans="1:1029" s="4" customFormat="1" ht="30" x14ac:dyDescent="0.25">
      <c r="A216" s="2">
        <v>175</v>
      </c>
      <c r="B216" s="2" t="s">
        <v>306</v>
      </c>
      <c r="C216" s="2" t="s">
        <v>561</v>
      </c>
      <c r="D216" s="2">
        <v>1</v>
      </c>
      <c r="E216" s="2" t="s">
        <v>572</v>
      </c>
      <c r="F216" s="2" t="s">
        <v>568</v>
      </c>
      <c r="G216" s="2" t="s">
        <v>538</v>
      </c>
      <c r="H216" s="2">
        <v>1</v>
      </c>
      <c r="I216" s="2" t="s">
        <v>662</v>
      </c>
      <c r="J216" s="2" t="s">
        <v>617</v>
      </c>
      <c r="K216" s="2" t="s">
        <v>5</v>
      </c>
    </row>
    <row r="217" spans="1:1029" s="4" customFormat="1" ht="30" x14ac:dyDescent="0.25">
      <c r="A217" s="2">
        <v>176</v>
      </c>
      <c r="B217" s="2" t="s">
        <v>307</v>
      </c>
      <c r="C217" s="2" t="s">
        <v>561</v>
      </c>
      <c r="D217" s="2">
        <v>1</v>
      </c>
      <c r="E217" s="2" t="s">
        <v>572</v>
      </c>
      <c r="F217" s="2" t="s">
        <v>568</v>
      </c>
      <c r="G217" s="2" t="s">
        <v>538</v>
      </c>
      <c r="H217" s="2">
        <v>1</v>
      </c>
      <c r="I217" s="2" t="s">
        <v>662</v>
      </c>
      <c r="J217" s="2" t="s">
        <v>617</v>
      </c>
      <c r="K217" s="2" t="s">
        <v>5</v>
      </c>
    </row>
    <row r="218" spans="1:1029" s="4" customFormat="1" ht="30" x14ac:dyDescent="0.25">
      <c r="A218" s="2">
        <v>177</v>
      </c>
      <c r="B218" s="2" t="s">
        <v>308</v>
      </c>
      <c r="C218" s="2" t="s">
        <v>561</v>
      </c>
      <c r="D218" s="2">
        <v>1</v>
      </c>
      <c r="E218" s="2" t="s">
        <v>572</v>
      </c>
      <c r="F218" s="2" t="s">
        <v>568</v>
      </c>
      <c r="G218" s="2" t="s">
        <v>538</v>
      </c>
      <c r="H218" s="2">
        <v>1</v>
      </c>
      <c r="I218" s="2" t="s">
        <v>662</v>
      </c>
      <c r="J218" s="2" t="s">
        <v>617</v>
      </c>
      <c r="K218" s="2" t="s">
        <v>5</v>
      </c>
    </row>
    <row r="219" spans="1:1029" s="4" customFormat="1" ht="30" x14ac:dyDescent="0.25">
      <c r="A219" s="2">
        <v>178</v>
      </c>
      <c r="B219" s="2" t="s">
        <v>52</v>
      </c>
      <c r="C219" s="2" t="s">
        <v>561</v>
      </c>
      <c r="D219" s="2">
        <v>1</v>
      </c>
      <c r="E219" s="2" t="s">
        <v>572</v>
      </c>
      <c r="F219" s="2" t="s">
        <v>568</v>
      </c>
      <c r="G219" s="2" t="s">
        <v>538</v>
      </c>
      <c r="H219" s="2">
        <v>1</v>
      </c>
      <c r="I219" s="2" t="s">
        <v>662</v>
      </c>
      <c r="J219" s="2" t="s">
        <v>617</v>
      </c>
      <c r="K219" s="2" t="s">
        <v>5</v>
      </c>
    </row>
    <row r="220" spans="1:1029" s="4" customFormat="1" ht="30" x14ac:dyDescent="0.25">
      <c r="A220" s="172">
        <v>179</v>
      </c>
      <c r="B220" s="172" t="s">
        <v>178</v>
      </c>
      <c r="C220" s="172" t="s">
        <v>561</v>
      </c>
      <c r="D220" s="172">
        <v>1</v>
      </c>
      <c r="E220" s="172" t="s">
        <v>572</v>
      </c>
      <c r="F220" s="172" t="s">
        <v>568</v>
      </c>
      <c r="G220" s="172" t="s">
        <v>538</v>
      </c>
      <c r="H220" s="2">
        <v>1</v>
      </c>
      <c r="I220" s="2" t="s">
        <v>662</v>
      </c>
      <c r="J220" s="2" t="s">
        <v>617</v>
      </c>
      <c r="K220" s="2" t="s">
        <v>5</v>
      </c>
    </row>
    <row r="221" spans="1:1029" s="14" customFormat="1" ht="45" x14ac:dyDescent="0.25">
      <c r="A221" s="172"/>
      <c r="B221" s="172"/>
      <c r="C221" s="172"/>
      <c r="D221" s="172"/>
      <c r="E221" s="172"/>
      <c r="F221" s="172"/>
      <c r="G221" s="172"/>
      <c r="H221" s="2">
        <v>2</v>
      </c>
      <c r="I221" s="2" t="s">
        <v>1043</v>
      </c>
      <c r="J221" s="2" t="s">
        <v>617</v>
      </c>
      <c r="K221" s="2" t="s">
        <v>5</v>
      </c>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c r="DV221" s="11"/>
      <c r="DW221" s="11"/>
      <c r="DX221" s="11"/>
      <c r="DY221" s="11"/>
      <c r="DZ221" s="11"/>
      <c r="EA221" s="11"/>
      <c r="EB221" s="11"/>
      <c r="EC221" s="11"/>
      <c r="ED221" s="11"/>
      <c r="EE221" s="11"/>
      <c r="EF221" s="11"/>
      <c r="EG221" s="11"/>
      <c r="EH221" s="11"/>
      <c r="EI221" s="11"/>
      <c r="EJ221" s="11"/>
      <c r="EK221" s="11"/>
      <c r="EL221" s="11"/>
      <c r="EM221" s="11"/>
      <c r="EN221" s="11"/>
      <c r="EO221" s="11"/>
      <c r="EP221" s="11"/>
      <c r="EQ221" s="11"/>
      <c r="ER221" s="11"/>
      <c r="ES221" s="11"/>
      <c r="ET221" s="11"/>
      <c r="EU221" s="11"/>
      <c r="EV221" s="11"/>
      <c r="EW221" s="11"/>
      <c r="EX221" s="11"/>
      <c r="EY221" s="11"/>
      <c r="EZ221" s="11"/>
      <c r="FA221" s="11"/>
      <c r="FB221" s="11"/>
      <c r="FC221" s="11"/>
      <c r="FD221" s="11"/>
      <c r="FE221" s="11"/>
      <c r="FF221" s="11"/>
      <c r="FG221" s="11"/>
      <c r="FH221" s="11"/>
      <c r="FI221" s="11"/>
      <c r="FJ221" s="11"/>
      <c r="FK221" s="11"/>
      <c r="FL221" s="11"/>
      <c r="FM221" s="11"/>
      <c r="FN221" s="11"/>
      <c r="FO221" s="11"/>
      <c r="FP221" s="11"/>
      <c r="FQ221" s="11"/>
      <c r="FR221" s="11"/>
      <c r="FS221" s="11"/>
      <c r="FT221" s="11"/>
      <c r="FU221" s="11"/>
      <c r="FV221" s="11"/>
      <c r="FW221" s="11"/>
      <c r="FX221" s="11"/>
      <c r="FY221" s="11"/>
      <c r="FZ221" s="11"/>
      <c r="GA221" s="11"/>
      <c r="GB221" s="11"/>
      <c r="GC221" s="11"/>
      <c r="GD221" s="11"/>
      <c r="GE221" s="11"/>
      <c r="GF221" s="11"/>
      <c r="GG221" s="11"/>
      <c r="GH221" s="11"/>
      <c r="GI221" s="11"/>
      <c r="GJ221" s="11"/>
      <c r="GK221" s="11"/>
      <c r="GL221" s="11"/>
      <c r="GM221" s="11"/>
      <c r="GN221" s="11"/>
      <c r="GO221" s="11"/>
      <c r="GP221" s="11"/>
      <c r="GQ221" s="11"/>
      <c r="GR221" s="11"/>
      <c r="GS221" s="11"/>
      <c r="GT221" s="11"/>
      <c r="GU221" s="11"/>
      <c r="GV221" s="11"/>
      <c r="GW221" s="11"/>
      <c r="GX221" s="11"/>
      <c r="GY221" s="11"/>
      <c r="GZ221" s="11"/>
      <c r="HA221" s="11"/>
      <c r="HB221" s="11"/>
      <c r="HC221" s="11"/>
      <c r="HD221" s="11"/>
      <c r="HE221" s="11"/>
      <c r="HF221" s="11"/>
      <c r="HG221" s="11"/>
      <c r="HH221" s="11"/>
      <c r="HI221" s="11"/>
      <c r="HJ221" s="11"/>
      <c r="HK221" s="11"/>
      <c r="HL221" s="11"/>
      <c r="HM221" s="11"/>
      <c r="HN221" s="11"/>
      <c r="HO221" s="11"/>
      <c r="HP221" s="11"/>
      <c r="HQ221" s="11"/>
      <c r="HR221" s="11"/>
      <c r="HS221" s="11"/>
      <c r="HT221" s="11"/>
      <c r="HU221" s="11"/>
      <c r="HV221" s="11"/>
      <c r="HW221" s="11"/>
      <c r="HX221" s="11"/>
      <c r="HY221" s="11"/>
      <c r="HZ221" s="11"/>
      <c r="IA221" s="11"/>
      <c r="IB221" s="11"/>
      <c r="IC221" s="11"/>
      <c r="ID221" s="11"/>
      <c r="IE221" s="11"/>
      <c r="IF221" s="11"/>
      <c r="IG221" s="11"/>
      <c r="IH221" s="11"/>
      <c r="II221" s="11"/>
      <c r="IJ221" s="11"/>
      <c r="IK221" s="11"/>
      <c r="IL221" s="11"/>
      <c r="IM221" s="11"/>
      <c r="IN221" s="11"/>
      <c r="IO221" s="11"/>
      <c r="IP221" s="11"/>
      <c r="IQ221" s="11"/>
      <c r="IR221" s="11"/>
      <c r="IS221" s="11"/>
      <c r="IT221" s="11"/>
      <c r="IU221" s="11"/>
      <c r="IV221" s="11"/>
      <c r="IW221" s="11"/>
      <c r="IX221" s="11"/>
      <c r="IY221" s="11"/>
      <c r="IZ221" s="11"/>
      <c r="JA221" s="11"/>
      <c r="JB221" s="11"/>
      <c r="JC221" s="11"/>
      <c r="JD221" s="11"/>
      <c r="JE221" s="11"/>
      <c r="JF221" s="11"/>
      <c r="JG221" s="11"/>
      <c r="JH221" s="11"/>
      <c r="JI221" s="11"/>
      <c r="JJ221" s="11"/>
      <c r="JK221" s="11"/>
      <c r="JL221" s="11"/>
      <c r="JM221" s="11"/>
      <c r="JN221" s="11"/>
      <c r="JO221" s="11"/>
      <c r="JP221" s="11"/>
      <c r="JQ221" s="11"/>
      <c r="JR221" s="11"/>
      <c r="JS221" s="11"/>
      <c r="JT221" s="11"/>
      <c r="JU221" s="11"/>
      <c r="JV221" s="11"/>
      <c r="JW221" s="11"/>
      <c r="JX221" s="11"/>
      <c r="JY221" s="11"/>
      <c r="JZ221" s="11"/>
      <c r="KA221" s="11"/>
      <c r="KB221" s="11"/>
      <c r="KC221" s="11"/>
      <c r="KD221" s="11"/>
      <c r="KE221" s="11"/>
      <c r="KF221" s="11"/>
      <c r="KG221" s="11"/>
      <c r="KH221" s="11"/>
      <c r="KI221" s="11"/>
      <c r="KJ221" s="11"/>
      <c r="KK221" s="11"/>
      <c r="KL221" s="11"/>
      <c r="KM221" s="11"/>
      <c r="KN221" s="11"/>
      <c r="KO221" s="11"/>
      <c r="KP221" s="11"/>
      <c r="KQ221" s="11"/>
      <c r="KR221" s="11"/>
      <c r="KS221" s="11"/>
      <c r="KT221" s="11"/>
      <c r="KU221" s="11"/>
      <c r="KV221" s="11"/>
      <c r="KW221" s="11"/>
      <c r="KX221" s="11"/>
      <c r="KY221" s="11"/>
      <c r="KZ221" s="11"/>
      <c r="LA221" s="11"/>
      <c r="LB221" s="11"/>
      <c r="LC221" s="11"/>
      <c r="LD221" s="11"/>
      <c r="LE221" s="11"/>
      <c r="LF221" s="11"/>
      <c r="LG221" s="11"/>
      <c r="LH221" s="11"/>
      <c r="LI221" s="11"/>
      <c r="LJ221" s="11"/>
      <c r="LK221" s="11"/>
      <c r="LL221" s="11"/>
      <c r="LM221" s="11"/>
      <c r="LN221" s="11"/>
      <c r="LO221" s="11"/>
      <c r="LP221" s="11"/>
      <c r="LQ221" s="11"/>
      <c r="LR221" s="11"/>
      <c r="LS221" s="11"/>
      <c r="LT221" s="11"/>
      <c r="LU221" s="11"/>
      <c r="LV221" s="11"/>
      <c r="LW221" s="11"/>
      <c r="LX221" s="11"/>
      <c r="LY221" s="11"/>
      <c r="LZ221" s="11"/>
      <c r="MA221" s="11"/>
      <c r="MB221" s="11"/>
      <c r="MC221" s="11"/>
      <c r="MD221" s="11"/>
      <c r="ME221" s="11"/>
      <c r="MF221" s="11"/>
      <c r="MG221" s="11"/>
      <c r="MH221" s="11"/>
      <c r="MI221" s="11"/>
      <c r="MJ221" s="11"/>
      <c r="MK221" s="11"/>
      <c r="ML221" s="11"/>
      <c r="MM221" s="11"/>
      <c r="MN221" s="11"/>
      <c r="MO221" s="11"/>
      <c r="MP221" s="11"/>
      <c r="MQ221" s="11"/>
      <c r="MR221" s="11"/>
      <c r="MS221" s="11"/>
      <c r="MT221" s="11"/>
      <c r="MU221" s="11"/>
      <c r="MV221" s="11"/>
      <c r="MW221" s="11"/>
      <c r="MX221" s="11"/>
      <c r="MY221" s="11"/>
      <c r="MZ221" s="11"/>
      <c r="NA221" s="11"/>
      <c r="NB221" s="11"/>
      <c r="NC221" s="11"/>
      <c r="ND221" s="11"/>
      <c r="NE221" s="11"/>
      <c r="NF221" s="11"/>
      <c r="NG221" s="11"/>
      <c r="NH221" s="11"/>
      <c r="NI221" s="11"/>
      <c r="NJ221" s="11"/>
      <c r="NK221" s="11"/>
      <c r="NL221" s="11"/>
      <c r="NM221" s="11"/>
      <c r="NN221" s="11"/>
      <c r="NO221" s="11"/>
      <c r="NP221" s="11"/>
      <c r="NQ221" s="11"/>
      <c r="NR221" s="11"/>
      <c r="NS221" s="11"/>
      <c r="NT221" s="11"/>
      <c r="NU221" s="11"/>
      <c r="NV221" s="11"/>
      <c r="NW221" s="11"/>
      <c r="NX221" s="11"/>
      <c r="NY221" s="11"/>
      <c r="NZ221" s="11"/>
      <c r="OA221" s="11"/>
      <c r="OB221" s="11"/>
      <c r="OC221" s="11"/>
      <c r="OD221" s="11"/>
      <c r="OE221" s="11"/>
      <c r="OF221" s="11"/>
      <c r="OG221" s="11"/>
      <c r="OH221" s="11"/>
      <c r="OI221" s="11"/>
      <c r="OJ221" s="11"/>
      <c r="OK221" s="11"/>
      <c r="OL221" s="11"/>
      <c r="OM221" s="11"/>
      <c r="ON221" s="11"/>
      <c r="OO221" s="11"/>
      <c r="OP221" s="11"/>
      <c r="OQ221" s="11"/>
      <c r="OR221" s="11"/>
      <c r="OS221" s="11"/>
      <c r="OT221" s="11"/>
      <c r="OU221" s="11"/>
      <c r="OV221" s="11"/>
      <c r="OW221" s="11"/>
      <c r="OX221" s="11"/>
      <c r="OY221" s="11"/>
      <c r="OZ221" s="11"/>
      <c r="PA221" s="11"/>
      <c r="PB221" s="11"/>
      <c r="PC221" s="11"/>
      <c r="PD221" s="11"/>
      <c r="PE221" s="11"/>
      <c r="PF221" s="11"/>
      <c r="PG221" s="11"/>
      <c r="PH221" s="11"/>
      <c r="PI221" s="11"/>
      <c r="PJ221" s="11"/>
      <c r="PK221" s="11"/>
      <c r="PL221" s="11"/>
      <c r="PM221" s="11"/>
      <c r="PN221" s="11"/>
      <c r="PO221" s="11"/>
      <c r="PP221" s="11"/>
      <c r="PQ221" s="11"/>
      <c r="PR221" s="11"/>
      <c r="PS221" s="11"/>
      <c r="PT221" s="11"/>
      <c r="PU221" s="11"/>
      <c r="PV221" s="11"/>
      <c r="PW221" s="11"/>
      <c r="PX221" s="11"/>
      <c r="PY221" s="11"/>
      <c r="PZ221" s="11"/>
      <c r="QA221" s="11"/>
      <c r="QB221" s="11"/>
      <c r="QC221" s="11"/>
      <c r="QD221" s="11"/>
      <c r="QE221" s="11"/>
      <c r="QF221" s="11"/>
      <c r="QG221" s="11"/>
      <c r="QH221" s="11"/>
      <c r="QI221" s="11"/>
      <c r="QJ221" s="11"/>
      <c r="QK221" s="11"/>
      <c r="QL221" s="11"/>
      <c r="QM221" s="11"/>
      <c r="QN221" s="11"/>
      <c r="QO221" s="11"/>
      <c r="QP221" s="11"/>
      <c r="QQ221" s="11"/>
      <c r="QR221" s="11"/>
      <c r="QS221" s="11"/>
      <c r="QT221" s="11"/>
      <c r="QU221" s="11"/>
      <c r="QV221" s="11"/>
      <c r="QW221" s="11"/>
      <c r="QX221" s="11"/>
      <c r="QY221" s="11"/>
      <c r="QZ221" s="11"/>
      <c r="RA221" s="11"/>
      <c r="RB221" s="11"/>
      <c r="RC221" s="11"/>
      <c r="RD221" s="11"/>
      <c r="RE221" s="11"/>
      <c r="RF221" s="11"/>
      <c r="RG221" s="11"/>
      <c r="RH221" s="11"/>
      <c r="RI221" s="11"/>
      <c r="RJ221" s="11"/>
      <c r="RK221" s="11"/>
      <c r="RL221" s="11"/>
      <c r="RM221" s="11"/>
      <c r="RN221" s="11"/>
      <c r="RO221" s="11"/>
      <c r="RP221" s="11"/>
      <c r="RQ221" s="11"/>
      <c r="RR221" s="11"/>
      <c r="RS221" s="11"/>
      <c r="RT221" s="11"/>
      <c r="RU221" s="11"/>
      <c r="RV221" s="11"/>
      <c r="RW221" s="11"/>
      <c r="RX221" s="11"/>
      <c r="RY221" s="11"/>
      <c r="RZ221" s="11"/>
      <c r="SA221" s="11"/>
      <c r="SB221" s="11"/>
      <c r="SC221" s="11"/>
      <c r="SD221" s="11"/>
      <c r="SE221" s="11"/>
      <c r="SF221" s="11"/>
      <c r="SG221" s="11"/>
      <c r="SH221" s="11"/>
      <c r="SI221" s="11"/>
      <c r="SJ221" s="11"/>
      <c r="SK221" s="11"/>
      <c r="SL221" s="11"/>
      <c r="SM221" s="11"/>
      <c r="SN221" s="11"/>
      <c r="SO221" s="11"/>
      <c r="SP221" s="11"/>
      <c r="SQ221" s="11"/>
      <c r="SR221" s="11"/>
      <c r="SS221" s="11"/>
      <c r="ST221" s="11"/>
      <c r="SU221" s="11"/>
      <c r="SV221" s="11"/>
      <c r="SW221" s="11"/>
      <c r="SX221" s="11"/>
      <c r="SY221" s="11"/>
      <c r="SZ221" s="11"/>
      <c r="TA221" s="11"/>
      <c r="TB221" s="11"/>
      <c r="TC221" s="11"/>
      <c r="TD221" s="11"/>
      <c r="TE221" s="11"/>
      <c r="TF221" s="11"/>
      <c r="TG221" s="11"/>
      <c r="TH221" s="11"/>
      <c r="TI221" s="11"/>
      <c r="TJ221" s="11"/>
      <c r="TK221" s="11"/>
      <c r="TL221" s="11"/>
      <c r="TM221" s="11"/>
      <c r="TN221" s="11"/>
      <c r="TO221" s="11"/>
      <c r="TP221" s="11"/>
      <c r="TQ221" s="11"/>
      <c r="TR221" s="11"/>
      <c r="TS221" s="11"/>
      <c r="TT221" s="11"/>
      <c r="TU221" s="11"/>
      <c r="TV221" s="11"/>
      <c r="TW221" s="11"/>
      <c r="TX221" s="11"/>
      <c r="TY221" s="11"/>
      <c r="TZ221" s="11"/>
      <c r="UA221" s="11"/>
      <c r="UB221" s="11"/>
      <c r="UC221" s="11"/>
      <c r="UD221" s="11"/>
      <c r="UE221" s="11"/>
      <c r="UF221" s="11"/>
      <c r="UG221" s="11"/>
      <c r="UH221" s="11"/>
      <c r="UI221" s="11"/>
      <c r="UJ221" s="11"/>
      <c r="UK221" s="11"/>
      <c r="UL221" s="11"/>
      <c r="UM221" s="11"/>
      <c r="UN221" s="11"/>
      <c r="UO221" s="11"/>
      <c r="UP221" s="11"/>
      <c r="UQ221" s="11"/>
      <c r="UR221" s="11"/>
      <c r="US221" s="11"/>
      <c r="UT221" s="11"/>
      <c r="UU221" s="11"/>
      <c r="UV221" s="11"/>
      <c r="UW221" s="11"/>
      <c r="UX221" s="11"/>
      <c r="UY221" s="11"/>
      <c r="UZ221" s="11"/>
      <c r="VA221" s="11"/>
      <c r="VB221" s="11"/>
      <c r="VC221" s="11"/>
      <c r="VD221" s="11"/>
      <c r="VE221" s="11"/>
      <c r="VF221" s="11"/>
      <c r="VG221" s="11"/>
      <c r="VH221" s="11"/>
      <c r="VI221" s="11"/>
      <c r="VJ221" s="11"/>
      <c r="VK221" s="11"/>
      <c r="VL221" s="11"/>
      <c r="VM221" s="11"/>
      <c r="VN221" s="11"/>
      <c r="VO221" s="11"/>
      <c r="VP221" s="11"/>
      <c r="VQ221" s="11"/>
      <c r="VR221" s="11"/>
      <c r="VS221" s="11"/>
      <c r="VT221" s="11"/>
      <c r="VU221" s="11"/>
      <c r="VV221" s="11"/>
      <c r="VW221" s="11"/>
      <c r="VX221" s="11"/>
      <c r="VY221" s="11"/>
      <c r="VZ221" s="11"/>
      <c r="WA221" s="11"/>
      <c r="WB221" s="11"/>
      <c r="WC221" s="11"/>
      <c r="WD221" s="11"/>
      <c r="WE221" s="11"/>
      <c r="WF221" s="11"/>
      <c r="WG221" s="11"/>
      <c r="WH221" s="11"/>
      <c r="WI221" s="11"/>
      <c r="WJ221" s="11"/>
      <c r="WK221" s="11"/>
      <c r="WL221" s="11"/>
      <c r="WM221" s="11"/>
      <c r="WN221" s="11"/>
      <c r="WO221" s="11"/>
      <c r="WP221" s="11"/>
      <c r="WQ221" s="11"/>
      <c r="WR221" s="11"/>
      <c r="WS221" s="11"/>
      <c r="WT221" s="11"/>
      <c r="WU221" s="11"/>
      <c r="WV221" s="11"/>
      <c r="WW221" s="11"/>
      <c r="WX221" s="11"/>
      <c r="WY221" s="11"/>
      <c r="WZ221" s="11"/>
      <c r="XA221" s="11"/>
      <c r="XB221" s="11"/>
      <c r="XC221" s="11"/>
      <c r="XD221" s="11"/>
      <c r="XE221" s="11"/>
      <c r="XF221" s="11"/>
      <c r="XG221" s="11"/>
      <c r="XH221" s="11"/>
      <c r="XI221" s="11"/>
      <c r="XJ221" s="11"/>
      <c r="XK221" s="11"/>
      <c r="XL221" s="11"/>
      <c r="XM221" s="11"/>
      <c r="XN221" s="11"/>
      <c r="XO221" s="11"/>
      <c r="XP221" s="11"/>
      <c r="XQ221" s="11"/>
      <c r="XR221" s="11"/>
      <c r="XS221" s="11"/>
      <c r="XT221" s="11"/>
      <c r="XU221" s="11"/>
      <c r="XV221" s="11"/>
      <c r="XW221" s="11"/>
      <c r="XX221" s="11"/>
      <c r="XY221" s="11"/>
      <c r="XZ221" s="11"/>
      <c r="YA221" s="11"/>
      <c r="YB221" s="11"/>
      <c r="YC221" s="11"/>
      <c r="YD221" s="11"/>
      <c r="YE221" s="11"/>
      <c r="YF221" s="11"/>
      <c r="YG221" s="11"/>
      <c r="YH221" s="11"/>
      <c r="YI221" s="11"/>
      <c r="YJ221" s="11"/>
      <c r="YK221" s="11"/>
      <c r="YL221" s="11"/>
      <c r="YM221" s="11"/>
      <c r="YN221" s="11"/>
      <c r="YO221" s="11"/>
      <c r="YP221" s="11"/>
      <c r="YQ221" s="11"/>
      <c r="YR221" s="11"/>
      <c r="YS221" s="11"/>
      <c r="YT221" s="11"/>
      <c r="YU221" s="11"/>
      <c r="YV221" s="11"/>
      <c r="YW221" s="11"/>
      <c r="YX221" s="11"/>
      <c r="YY221" s="11"/>
      <c r="YZ221" s="11"/>
      <c r="ZA221" s="11"/>
      <c r="ZB221" s="11"/>
      <c r="ZC221" s="11"/>
      <c r="ZD221" s="11"/>
      <c r="ZE221" s="11"/>
      <c r="ZF221" s="11"/>
      <c r="ZG221" s="11"/>
      <c r="ZH221" s="11"/>
      <c r="ZI221" s="11"/>
      <c r="ZJ221" s="11"/>
      <c r="ZK221" s="11"/>
      <c r="ZL221" s="11"/>
      <c r="ZM221" s="11"/>
      <c r="ZN221" s="11"/>
      <c r="ZO221" s="11"/>
      <c r="ZP221" s="11"/>
      <c r="ZQ221" s="11"/>
      <c r="ZR221" s="11"/>
      <c r="ZS221" s="11"/>
      <c r="ZT221" s="11"/>
      <c r="ZU221" s="11"/>
      <c r="ZV221" s="11"/>
      <c r="ZW221" s="11"/>
      <c r="ZX221" s="11"/>
      <c r="ZY221" s="11"/>
      <c r="ZZ221" s="11"/>
      <c r="AAA221" s="11"/>
      <c r="AAB221" s="11"/>
      <c r="AAC221" s="11"/>
      <c r="AAD221" s="11"/>
      <c r="AAE221" s="11"/>
      <c r="AAF221" s="11"/>
      <c r="AAG221" s="11"/>
      <c r="AAH221" s="11"/>
      <c r="AAI221" s="11"/>
      <c r="AAJ221" s="11"/>
      <c r="AAK221" s="11"/>
      <c r="AAL221" s="11"/>
      <c r="AAM221" s="11"/>
      <c r="AAN221" s="11"/>
      <c r="AAO221" s="11"/>
      <c r="AAP221" s="11"/>
      <c r="AAQ221" s="11"/>
      <c r="AAR221" s="11"/>
      <c r="AAS221" s="11"/>
      <c r="AAT221" s="11"/>
      <c r="AAU221" s="11"/>
      <c r="AAV221" s="11"/>
      <c r="AAW221" s="11"/>
      <c r="AAX221" s="11"/>
      <c r="AAY221" s="11"/>
      <c r="AAZ221" s="11"/>
      <c r="ABA221" s="11"/>
      <c r="ABB221" s="11"/>
      <c r="ABC221" s="11"/>
      <c r="ABD221" s="11"/>
      <c r="ABE221" s="11"/>
      <c r="ABF221" s="11"/>
      <c r="ABG221" s="11"/>
      <c r="ABH221" s="11"/>
      <c r="ABI221" s="11"/>
      <c r="ABJ221" s="11"/>
      <c r="ABK221" s="11"/>
      <c r="ABL221" s="11"/>
      <c r="ABM221" s="11"/>
      <c r="ABN221" s="11"/>
      <c r="ABO221" s="11"/>
      <c r="ABP221" s="11"/>
      <c r="ABQ221" s="11"/>
      <c r="ABR221" s="11"/>
      <c r="ABS221" s="11"/>
      <c r="ABT221" s="11"/>
      <c r="ABU221" s="11"/>
      <c r="ABV221" s="11"/>
      <c r="ABW221" s="11"/>
      <c r="ABX221" s="11"/>
      <c r="ABY221" s="11"/>
      <c r="ABZ221" s="11"/>
      <c r="ACA221" s="11"/>
      <c r="ACB221" s="11"/>
      <c r="ACC221" s="11"/>
      <c r="ACD221" s="11"/>
      <c r="ACE221" s="11"/>
      <c r="ACF221" s="11"/>
      <c r="ACG221" s="11"/>
      <c r="ACH221" s="11"/>
      <c r="ACI221" s="11"/>
      <c r="ACJ221" s="11"/>
      <c r="ACK221" s="11"/>
      <c r="ACL221" s="11"/>
      <c r="ACM221" s="11"/>
      <c r="ACN221" s="11"/>
      <c r="ACO221" s="11"/>
      <c r="ACP221" s="11"/>
      <c r="ACQ221" s="11"/>
      <c r="ACR221" s="11"/>
      <c r="ACS221" s="11"/>
      <c r="ACT221" s="11"/>
      <c r="ACU221" s="11"/>
      <c r="ACV221" s="11"/>
      <c r="ACW221" s="11"/>
      <c r="ACX221" s="11"/>
      <c r="ACY221" s="11"/>
      <c r="ACZ221" s="11"/>
      <c r="ADA221" s="11"/>
      <c r="ADB221" s="11"/>
      <c r="ADC221" s="11"/>
      <c r="ADD221" s="11"/>
      <c r="ADE221" s="11"/>
      <c r="ADF221" s="11"/>
      <c r="ADG221" s="11"/>
      <c r="ADH221" s="11"/>
      <c r="ADI221" s="11"/>
      <c r="ADJ221" s="11"/>
      <c r="ADK221" s="11"/>
      <c r="ADL221" s="11"/>
      <c r="ADM221" s="11"/>
      <c r="ADN221" s="11"/>
      <c r="ADO221" s="11"/>
      <c r="ADP221" s="11"/>
      <c r="ADQ221" s="11"/>
      <c r="ADR221" s="11"/>
      <c r="ADS221" s="11"/>
      <c r="ADT221" s="11"/>
      <c r="ADU221" s="11"/>
      <c r="ADV221" s="11"/>
      <c r="ADW221" s="11"/>
      <c r="ADX221" s="11"/>
      <c r="ADY221" s="11"/>
      <c r="ADZ221" s="11"/>
      <c r="AEA221" s="11"/>
      <c r="AEB221" s="11"/>
      <c r="AEC221" s="11"/>
      <c r="AED221" s="11"/>
      <c r="AEE221" s="11"/>
      <c r="AEF221" s="11"/>
      <c r="AEG221" s="11"/>
      <c r="AEH221" s="11"/>
      <c r="AEI221" s="11"/>
      <c r="AEJ221" s="11"/>
      <c r="AEK221" s="11"/>
      <c r="AEL221" s="11"/>
      <c r="AEM221" s="11"/>
      <c r="AEN221" s="11"/>
      <c r="AEO221" s="11"/>
      <c r="AEP221" s="11"/>
      <c r="AEQ221" s="11"/>
      <c r="AER221" s="11"/>
      <c r="AES221" s="11"/>
      <c r="AET221" s="11"/>
      <c r="AEU221" s="11"/>
      <c r="AEV221" s="11"/>
      <c r="AEW221" s="11"/>
      <c r="AEX221" s="11"/>
      <c r="AEY221" s="11"/>
      <c r="AEZ221" s="11"/>
      <c r="AFA221" s="11"/>
      <c r="AFB221" s="11"/>
      <c r="AFC221" s="11"/>
      <c r="AFD221" s="11"/>
      <c r="AFE221" s="11"/>
      <c r="AFF221" s="11"/>
      <c r="AFG221" s="11"/>
      <c r="AFH221" s="11"/>
      <c r="AFI221" s="11"/>
      <c r="AFJ221" s="11"/>
      <c r="AFK221" s="11"/>
      <c r="AFL221" s="11"/>
      <c r="AFM221" s="11"/>
      <c r="AFN221" s="11"/>
      <c r="AFO221" s="11"/>
      <c r="AFP221" s="11"/>
      <c r="AFQ221" s="11"/>
      <c r="AFR221" s="11"/>
      <c r="AFS221" s="11"/>
      <c r="AFT221" s="11"/>
      <c r="AFU221" s="11"/>
      <c r="AFV221" s="11"/>
      <c r="AFW221" s="11"/>
      <c r="AFX221" s="11"/>
      <c r="AFY221" s="11"/>
      <c r="AFZ221" s="11"/>
      <c r="AGA221" s="11"/>
      <c r="AGB221" s="11"/>
      <c r="AGC221" s="11"/>
      <c r="AGD221" s="11"/>
      <c r="AGE221" s="11"/>
      <c r="AGF221" s="11"/>
      <c r="AGG221" s="11"/>
      <c r="AGH221" s="11"/>
      <c r="AGI221" s="11"/>
      <c r="AGJ221" s="11"/>
      <c r="AGK221" s="11"/>
      <c r="AGL221" s="11"/>
      <c r="AGM221" s="11"/>
      <c r="AGN221" s="11"/>
      <c r="AGO221" s="11"/>
      <c r="AGP221" s="11"/>
      <c r="AGQ221" s="11"/>
      <c r="AGR221" s="11"/>
      <c r="AGS221" s="11"/>
      <c r="AGT221" s="11"/>
      <c r="AGU221" s="11"/>
      <c r="AGV221" s="11"/>
      <c r="AGW221" s="11"/>
      <c r="AGX221" s="11"/>
      <c r="AGY221" s="11"/>
      <c r="AGZ221" s="11"/>
      <c r="AHA221" s="11"/>
      <c r="AHB221" s="11"/>
      <c r="AHC221" s="11"/>
      <c r="AHD221" s="11"/>
      <c r="AHE221" s="11"/>
      <c r="AHF221" s="11"/>
      <c r="AHG221" s="11"/>
      <c r="AHH221" s="11"/>
      <c r="AHI221" s="11"/>
      <c r="AHJ221" s="11"/>
      <c r="AHK221" s="11"/>
      <c r="AHL221" s="11"/>
      <c r="AHM221" s="11"/>
      <c r="AHN221" s="11"/>
      <c r="AHO221" s="11"/>
      <c r="AHP221" s="11"/>
      <c r="AHQ221" s="11"/>
      <c r="AHR221" s="11"/>
      <c r="AHS221" s="11"/>
      <c r="AHT221" s="11"/>
      <c r="AHU221" s="11"/>
      <c r="AHV221" s="11"/>
      <c r="AHW221" s="11"/>
      <c r="AHX221" s="11"/>
      <c r="AHY221" s="11"/>
      <c r="AHZ221" s="11"/>
      <c r="AIA221" s="11"/>
      <c r="AIB221" s="11"/>
      <c r="AIC221" s="11"/>
      <c r="AID221" s="11"/>
      <c r="AIE221" s="11"/>
      <c r="AIF221" s="11"/>
      <c r="AIG221" s="11"/>
      <c r="AIH221" s="11"/>
      <c r="AII221" s="11"/>
      <c r="AIJ221" s="11"/>
      <c r="AIK221" s="11"/>
      <c r="AIL221" s="11"/>
      <c r="AIM221" s="11"/>
      <c r="AIN221" s="11"/>
      <c r="AIO221" s="11"/>
      <c r="AIP221" s="11"/>
      <c r="AIQ221" s="11"/>
      <c r="AIR221" s="11"/>
      <c r="AIS221" s="11"/>
      <c r="AIT221" s="11"/>
      <c r="AIU221" s="11"/>
      <c r="AIV221" s="11"/>
      <c r="AIW221" s="11"/>
      <c r="AIX221" s="11"/>
      <c r="AIY221" s="11"/>
      <c r="AIZ221" s="11"/>
      <c r="AJA221" s="11"/>
      <c r="AJB221" s="11"/>
      <c r="AJC221" s="11"/>
      <c r="AJD221" s="11"/>
      <c r="AJE221" s="11"/>
      <c r="AJF221" s="11"/>
      <c r="AJG221" s="11"/>
      <c r="AJH221" s="11"/>
      <c r="AJI221" s="11"/>
      <c r="AJJ221" s="11"/>
      <c r="AJK221" s="11"/>
      <c r="AJL221" s="11"/>
      <c r="AJM221" s="11"/>
      <c r="AJN221" s="11"/>
      <c r="AJO221" s="11"/>
      <c r="AJP221" s="11"/>
      <c r="AJQ221" s="11"/>
      <c r="AJR221" s="11"/>
      <c r="AJS221" s="11"/>
      <c r="AJT221" s="11"/>
      <c r="AJU221" s="11"/>
      <c r="AJV221" s="11"/>
      <c r="AJW221" s="11"/>
      <c r="AJX221" s="11"/>
      <c r="AJY221" s="11"/>
      <c r="AJZ221" s="11"/>
      <c r="AKA221" s="11"/>
      <c r="AKB221" s="11"/>
      <c r="AKC221" s="11"/>
      <c r="AKD221" s="11"/>
      <c r="AKE221" s="11"/>
      <c r="AKF221" s="11"/>
      <c r="AKG221" s="11"/>
      <c r="AKH221" s="11"/>
      <c r="AKI221" s="11"/>
      <c r="AKJ221" s="11"/>
      <c r="AKK221" s="11"/>
      <c r="AKL221" s="11"/>
      <c r="AKM221" s="11"/>
      <c r="AKN221" s="11"/>
      <c r="AKO221" s="11"/>
      <c r="AKP221" s="11"/>
      <c r="AKQ221" s="11"/>
      <c r="AKR221" s="11"/>
      <c r="AKS221" s="11"/>
      <c r="AKT221" s="11"/>
      <c r="AKU221" s="11"/>
      <c r="AKV221" s="11"/>
      <c r="AKW221" s="11"/>
      <c r="AKX221" s="11"/>
      <c r="AKY221" s="11"/>
      <c r="AKZ221" s="11"/>
      <c r="ALA221" s="11"/>
      <c r="ALB221" s="11"/>
      <c r="ALC221" s="11"/>
      <c r="ALD221" s="11"/>
      <c r="ALE221" s="11"/>
      <c r="ALF221" s="11"/>
      <c r="ALG221" s="11"/>
      <c r="ALH221" s="11"/>
      <c r="ALI221" s="11"/>
      <c r="ALJ221" s="11"/>
      <c r="ALK221" s="11"/>
      <c r="ALL221" s="11"/>
      <c r="ALM221" s="11"/>
      <c r="ALN221" s="11"/>
      <c r="ALO221" s="11"/>
      <c r="ALP221" s="11"/>
      <c r="ALQ221" s="11"/>
      <c r="ALR221" s="11"/>
      <c r="ALS221" s="11"/>
      <c r="ALT221" s="11"/>
      <c r="ALU221" s="11"/>
      <c r="ALV221" s="11"/>
      <c r="ALW221" s="11"/>
      <c r="ALX221" s="11"/>
      <c r="ALY221" s="11"/>
      <c r="ALZ221" s="11"/>
      <c r="AMA221" s="11"/>
      <c r="AMB221" s="11"/>
      <c r="AMC221" s="11"/>
      <c r="AMD221" s="11"/>
      <c r="AME221" s="11"/>
      <c r="AMF221" s="11"/>
      <c r="AMG221" s="11"/>
      <c r="AMH221" s="11"/>
      <c r="AMI221" s="11"/>
      <c r="AMJ221" s="11"/>
      <c r="AMK221" s="11"/>
      <c r="AML221" s="11"/>
      <c r="AMM221" s="11"/>
      <c r="AMN221" s="11"/>
      <c r="AMO221" s="11"/>
    </row>
    <row r="222" spans="1:1029" s="4" customFormat="1" ht="75" x14ac:dyDescent="0.25">
      <c r="A222" s="2">
        <v>180</v>
      </c>
      <c r="B222" s="2" t="s">
        <v>320</v>
      </c>
      <c r="C222" s="2" t="s">
        <v>561</v>
      </c>
      <c r="D222" s="2">
        <v>1</v>
      </c>
      <c r="E222" s="2" t="s">
        <v>572</v>
      </c>
      <c r="F222" s="2" t="s">
        <v>568</v>
      </c>
      <c r="G222" s="2" t="s">
        <v>559</v>
      </c>
      <c r="H222" s="2">
        <v>1</v>
      </c>
      <c r="I222" s="2" t="s">
        <v>920</v>
      </c>
      <c r="J222" s="2" t="s">
        <v>617</v>
      </c>
      <c r="K222" s="2" t="s">
        <v>5</v>
      </c>
    </row>
    <row r="223" spans="1:1029" s="4" customFormat="1" ht="30" x14ac:dyDescent="0.25">
      <c r="A223" s="2">
        <v>181</v>
      </c>
      <c r="B223" s="2" t="s">
        <v>390</v>
      </c>
      <c r="C223" s="2" t="s">
        <v>561</v>
      </c>
      <c r="D223" s="2">
        <v>1</v>
      </c>
      <c r="E223" s="2" t="s">
        <v>572</v>
      </c>
      <c r="F223" s="2" t="s">
        <v>568</v>
      </c>
      <c r="G223" s="2" t="s">
        <v>538</v>
      </c>
      <c r="H223" s="2">
        <v>1</v>
      </c>
      <c r="I223" s="2" t="s">
        <v>662</v>
      </c>
      <c r="J223" s="2" t="s">
        <v>617</v>
      </c>
      <c r="K223" s="2" t="s">
        <v>5</v>
      </c>
    </row>
    <row r="224" spans="1:1029" s="15" customFormat="1" ht="62.4" x14ac:dyDescent="0.25">
      <c r="A224" s="88" t="s">
        <v>1167</v>
      </c>
      <c r="B224" s="173" t="s">
        <v>391</v>
      </c>
      <c r="C224" s="173"/>
      <c r="D224" s="173"/>
      <c r="E224" s="173"/>
      <c r="F224" s="173"/>
      <c r="G224" s="173"/>
      <c r="H224" s="88"/>
      <c r="I224" s="88" t="str">
        <f>"Pelo menos um dos campos de "&amp;A224&amp;" deve ser preenchido com 1 quando o [A escola desenvolve ações na área de educação ambiental?] for 1"</f>
        <v>Pelo menos um dos campos de 182 a 187 deve ser preenchido com 1 quando o [A escola desenvolve ações na área de educação ambiental?] for 1</v>
      </c>
      <c r="J224" s="88" t="s">
        <v>617</v>
      </c>
      <c r="K224" s="88" t="s">
        <v>5</v>
      </c>
    </row>
    <row r="225" spans="1:11" s="4" customFormat="1" ht="60" x14ac:dyDescent="0.25">
      <c r="A225" s="2">
        <v>182</v>
      </c>
      <c r="B225" s="2" t="s">
        <v>392</v>
      </c>
      <c r="C225" s="2" t="s">
        <v>565</v>
      </c>
      <c r="D225" s="2">
        <v>1</v>
      </c>
      <c r="E225" s="2" t="s">
        <v>572</v>
      </c>
      <c r="F225" s="2" t="s">
        <v>568</v>
      </c>
      <c r="G225" s="2" t="s">
        <v>538</v>
      </c>
      <c r="H225" s="2">
        <v>1</v>
      </c>
      <c r="I225" s="2" t="s">
        <v>921</v>
      </c>
      <c r="J225" s="2" t="s">
        <v>617</v>
      </c>
      <c r="K225" s="2" t="s">
        <v>5</v>
      </c>
    </row>
    <row r="226" spans="1:11" s="4" customFormat="1" ht="60" x14ac:dyDescent="0.25">
      <c r="A226" s="2">
        <v>183</v>
      </c>
      <c r="B226" s="2" t="s">
        <v>393</v>
      </c>
      <c r="C226" s="2" t="s">
        <v>565</v>
      </c>
      <c r="D226" s="2">
        <v>1</v>
      </c>
      <c r="E226" s="2" t="s">
        <v>572</v>
      </c>
      <c r="F226" s="2" t="s">
        <v>568</v>
      </c>
      <c r="G226" s="2" t="s">
        <v>538</v>
      </c>
      <c r="H226" s="2">
        <v>1</v>
      </c>
      <c r="I226" s="2" t="s">
        <v>921</v>
      </c>
      <c r="J226" s="2" t="s">
        <v>617</v>
      </c>
      <c r="K226" s="2" t="s">
        <v>5</v>
      </c>
    </row>
    <row r="227" spans="1:11" s="4" customFormat="1" ht="60" x14ac:dyDescent="0.25">
      <c r="A227" s="2">
        <v>184</v>
      </c>
      <c r="B227" s="2" t="s">
        <v>394</v>
      </c>
      <c r="C227" s="2" t="s">
        <v>565</v>
      </c>
      <c r="D227" s="2">
        <v>1</v>
      </c>
      <c r="E227" s="2" t="s">
        <v>572</v>
      </c>
      <c r="F227" s="2" t="s">
        <v>568</v>
      </c>
      <c r="G227" s="2" t="s">
        <v>538</v>
      </c>
      <c r="H227" s="2">
        <v>1</v>
      </c>
      <c r="I227" s="2" t="s">
        <v>921</v>
      </c>
      <c r="J227" s="2" t="s">
        <v>617</v>
      </c>
      <c r="K227" s="2" t="s">
        <v>5</v>
      </c>
    </row>
    <row r="228" spans="1:11" s="4" customFormat="1" ht="60" x14ac:dyDescent="0.25">
      <c r="A228" s="2">
        <v>185</v>
      </c>
      <c r="B228" s="2" t="s">
        <v>395</v>
      </c>
      <c r="C228" s="2" t="s">
        <v>565</v>
      </c>
      <c r="D228" s="2">
        <v>1</v>
      </c>
      <c r="E228" s="2" t="s">
        <v>572</v>
      </c>
      <c r="F228" s="2" t="s">
        <v>568</v>
      </c>
      <c r="G228" s="2" t="s">
        <v>538</v>
      </c>
      <c r="H228" s="2">
        <v>1</v>
      </c>
      <c r="I228" s="2" t="s">
        <v>921</v>
      </c>
      <c r="J228" s="2" t="s">
        <v>617</v>
      </c>
      <c r="K228" s="2" t="s">
        <v>5</v>
      </c>
    </row>
    <row r="229" spans="1:11" s="4" customFormat="1" ht="60" x14ac:dyDescent="0.25">
      <c r="A229" s="2">
        <v>186</v>
      </c>
      <c r="B229" s="2" t="s">
        <v>396</v>
      </c>
      <c r="C229" s="2" t="s">
        <v>565</v>
      </c>
      <c r="D229" s="2">
        <v>1</v>
      </c>
      <c r="E229" s="2" t="s">
        <v>572</v>
      </c>
      <c r="F229" s="2" t="s">
        <v>568</v>
      </c>
      <c r="G229" s="2" t="s">
        <v>538</v>
      </c>
      <c r="H229" s="2">
        <v>1</v>
      </c>
      <c r="I229" s="2" t="s">
        <v>921</v>
      </c>
      <c r="J229" s="2" t="s">
        <v>617</v>
      </c>
      <c r="K229" s="2" t="s">
        <v>5</v>
      </c>
    </row>
    <row r="230" spans="1:11" s="4" customFormat="1" ht="60" x14ac:dyDescent="0.25">
      <c r="A230" s="172">
        <v>187</v>
      </c>
      <c r="B230" s="172" t="s">
        <v>397</v>
      </c>
      <c r="C230" s="172" t="s">
        <v>565</v>
      </c>
      <c r="D230" s="172">
        <v>1</v>
      </c>
      <c r="E230" s="172" t="s">
        <v>572</v>
      </c>
      <c r="F230" s="172" t="s">
        <v>568</v>
      </c>
      <c r="G230" s="172" t="s">
        <v>538</v>
      </c>
      <c r="H230" s="2">
        <v>1</v>
      </c>
      <c r="I230" s="2" t="s">
        <v>921</v>
      </c>
      <c r="J230" s="2" t="s">
        <v>617</v>
      </c>
      <c r="K230" s="2" t="s">
        <v>5</v>
      </c>
    </row>
    <row r="231" spans="1:11" s="4" customFormat="1" ht="45" x14ac:dyDescent="0.25">
      <c r="A231" s="172"/>
      <c r="B231" s="172"/>
      <c r="C231" s="172"/>
      <c r="D231" s="172"/>
      <c r="E231" s="172"/>
      <c r="F231" s="172"/>
      <c r="G231" s="172"/>
      <c r="H231" s="2">
        <v>2</v>
      </c>
      <c r="I231" s="2" t="s">
        <v>1043</v>
      </c>
      <c r="J231" s="2" t="s">
        <v>617</v>
      </c>
      <c r="K231" s="2" t="s">
        <v>5</v>
      </c>
    </row>
  </sheetData>
  <mergeCells count="191">
    <mergeCell ref="A230:A231"/>
    <mergeCell ref="B230:B231"/>
    <mergeCell ref="C230:C231"/>
    <mergeCell ref="D230:D231"/>
    <mergeCell ref="E230:E231"/>
    <mergeCell ref="F230:F231"/>
    <mergeCell ref="B214:G214"/>
    <mergeCell ref="A220:A221"/>
    <mergeCell ref="B220:B221"/>
    <mergeCell ref="C220:C221"/>
    <mergeCell ref="D220:D221"/>
    <mergeCell ref="E220:E221"/>
    <mergeCell ref="F220:F221"/>
    <mergeCell ref="G220:G221"/>
    <mergeCell ref="G230:G231"/>
    <mergeCell ref="B224:G224"/>
    <mergeCell ref="B203:G203"/>
    <mergeCell ref="A209:A210"/>
    <mergeCell ref="B209:B210"/>
    <mergeCell ref="C209:C210"/>
    <mergeCell ref="D209:D210"/>
    <mergeCell ref="E209:E210"/>
    <mergeCell ref="F209:F210"/>
    <mergeCell ref="G209:G210"/>
    <mergeCell ref="B176:G176"/>
    <mergeCell ref="A196:A197"/>
    <mergeCell ref="B196:B197"/>
    <mergeCell ref="C196:C197"/>
    <mergeCell ref="D196:D197"/>
    <mergeCell ref="E196:E197"/>
    <mergeCell ref="F196:F197"/>
    <mergeCell ref="G196:G197"/>
    <mergeCell ref="B4:G4"/>
    <mergeCell ref="B13:G14"/>
    <mergeCell ref="B28:G28"/>
    <mergeCell ref="B36:G36"/>
    <mergeCell ref="B42:G42"/>
    <mergeCell ref="B49:G49"/>
    <mergeCell ref="B55:G55"/>
    <mergeCell ref="B60:G60"/>
    <mergeCell ref="A64:A65"/>
    <mergeCell ref="B64:B65"/>
    <mergeCell ref="C64:C65"/>
    <mergeCell ref="D64:D65"/>
    <mergeCell ref="E64:E65"/>
    <mergeCell ref="F64:F65"/>
    <mergeCell ref="G64:G65"/>
    <mergeCell ref="D45:D46"/>
    <mergeCell ref="E45:E46"/>
    <mergeCell ref="F45:F46"/>
    <mergeCell ref="G45:G46"/>
    <mergeCell ref="D47:D48"/>
    <mergeCell ref="E47:E48"/>
    <mergeCell ref="F47:F48"/>
    <mergeCell ref="G47:G48"/>
    <mergeCell ref="A45:A46"/>
    <mergeCell ref="A13:A14"/>
    <mergeCell ref="A101:A102"/>
    <mergeCell ref="B101:B102"/>
    <mergeCell ref="C101:C102"/>
    <mergeCell ref="D101:D102"/>
    <mergeCell ref="E101:E102"/>
    <mergeCell ref="F101:F102"/>
    <mergeCell ref="G101:G102"/>
    <mergeCell ref="B153:G153"/>
    <mergeCell ref="B140:G140"/>
    <mergeCell ref="A145:A146"/>
    <mergeCell ref="B145:B146"/>
    <mergeCell ref="C145:C146"/>
    <mergeCell ref="D145:D146"/>
    <mergeCell ref="E145:E146"/>
    <mergeCell ref="F145:F146"/>
    <mergeCell ref="G145:G146"/>
    <mergeCell ref="A130:A131"/>
    <mergeCell ref="B130:B131"/>
    <mergeCell ref="C130:C131"/>
    <mergeCell ref="A113:A114"/>
    <mergeCell ref="B113:B114"/>
    <mergeCell ref="C113:C114"/>
    <mergeCell ref="B103:G103"/>
    <mergeCell ref="E19:E20"/>
    <mergeCell ref="F19:F20"/>
    <mergeCell ref="G19:G20"/>
    <mergeCell ref="D19:D20"/>
    <mergeCell ref="D21:D22"/>
    <mergeCell ref="E21:E22"/>
    <mergeCell ref="F21:F22"/>
    <mergeCell ref="G21:G22"/>
    <mergeCell ref="B45:B46"/>
    <mergeCell ref="C45:C46"/>
    <mergeCell ref="B19:B20"/>
    <mergeCell ref="C19:C20"/>
    <mergeCell ref="D113:D114"/>
    <mergeCell ref="B150:B152"/>
    <mergeCell ref="C150:C152"/>
    <mergeCell ref="D150:D152"/>
    <mergeCell ref="A121:A122"/>
    <mergeCell ref="B121:B122"/>
    <mergeCell ref="A119:A120"/>
    <mergeCell ref="B119:B120"/>
    <mergeCell ref="A147:A148"/>
    <mergeCell ref="B147:B148"/>
    <mergeCell ref="A117:A118"/>
    <mergeCell ref="E117:E118"/>
    <mergeCell ref="E147:E148"/>
    <mergeCell ref="C119:C120"/>
    <mergeCell ref="D119:D120"/>
    <mergeCell ref="F119:F120"/>
    <mergeCell ref="G119:G120"/>
    <mergeCell ref="F147:F148"/>
    <mergeCell ref="G147:G148"/>
    <mergeCell ref="D130:D131"/>
    <mergeCell ref="E130:E131"/>
    <mergeCell ref="F130:F131"/>
    <mergeCell ref="G130:G131"/>
    <mergeCell ref="C147:C148"/>
    <mergeCell ref="D147:D148"/>
    <mergeCell ref="B123:G123"/>
    <mergeCell ref="B117:B118"/>
    <mergeCell ref="A174:A175"/>
    <mergeCell ref="B174:B175"/>
    <mergeCell ref="B15:B16"/>
    <mergeCell ref="C15:C16"/>
    <mergeCell ref="B23:B24"/>
    <mergeCell ref="C23:C24"/>
    <mergeCell ref="A23:A24"/>
    <mergeCell ref="A25:A26"/>
    <mergeCell ref="B25:B26"/>
    <mergeCell ref="A21:A22"/>
    <mergeCell ref="B21:B22"/>
    <mergeCell ref="A17:A18"/>
    <mergeCell ref="B17:B18"/>
    <mergeCell ref="A15:A16"/>
    <mergeCell ref="C17:C18"/>
    <mergeCell ref="C174:C175"/>
    <mergeCell ref="C21:C22"/>
    <mergeCell ref="A150:A152"/>
    <mergeCell ref="B34:B35"/>
    <mergeCell ref="C117:C118"/>
    <mergeCell ref="A47:A48"/>
    <mergeCell ref="B47:B48"/>
    <mergeCell ref="C47:C48"/>
    <mergeCell ref="A19:A20"/>
    <mergeCell ref="D174:D175"/>
    <mergeCell ref="F174:F175"/>
    <mergeCell ref="G174:G175"/>
    <mergeCell ref="E174:E175"/>
    <mergeCell ref="E150:E152"/>
    <mergeCell ref="C25:C26"/>
    <mergeCell ref="C121:C122"/>
    <mergeCell ref="D121:D122"/>
    <mergeCell ref="F121:F122"/>
    <mergeCell ref="G121:G122"/>
    <mergeCell ref="E119:E120"/>
    <mergeCell ref="E121:E122"/>
    <mergeCell ref="C34:C35"/>
    <mergeCell ref="D34:D35"/>
    <mergeCell ref="E34:E35"/>
    <mergeCell ref="E113:E114"/>
    <mergeCell ref="F113:F114"/>
    <mergeCell ref="G113:G114"/>
    <mergeCell ref="F150:F152"/>
    <mergeCell ref="G150:G152"/>
    <mergeCell ref="F34:F35"/>
    <mergeCell ref="D117:D118"/>
    <mergeCell ref="F117:F118"/>
    <mergeCell ref="G117:G118"/>
    <mergeCell ref="D15:D16"/>
    <mergeCell ref="E15:E16"/>
    <mergeCell ref="F15:F16"/>
    <mergeCell ref="G15:G16"/>
    <mergeCell ref="D40:D41"/>
    <mergeCell ref="E40:E41"/>
    <mergeCell ref="F40:F41"/>
    <mergeCell ref="G40:G41"/>
    <mergeCell ref="A40:A41"/>
    <mergeCell ref="B40:B41"/>
    <mergeCell ref="C40:C41"/>
    <mergeCell ref="D23:D24"/>
    <mergeCell ref="E23:E24"/>
    <mergeCell ref="F23:F24"/>
    <mergeCell ref="G23:G24"/>
    <mergeCell ref="D25:D26"/>
    <mergeCell ref="E25:E26"/>
    <mergeCell ref="F25:F26"/>
    <mergeCell ref="G25:G26"/>
    <mergeCell ref="A34:A35"/>
    <mergeCell ref="D17:D18"/>
    <mergeCell ref="E17:E18"/>
    <mergeCell ref="F17:F18"/>
    <mergeCell ref="G17:G18"/>
  </mergeCells>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C8E37-9951-4FDD-B670-53C827FD6984}">
  <sheetPr codeName="Planilha6">
    <tabColor theme="3" tint="0.59999389629810485"/>
  </sheetPr>
  <dimension ref="A1:AMO156"/>
  <sheetViews>
    <sheetView showGridLines="0" zoomScaleNormal="100" workbookViewId="0">
      <pane xSplit="1" ySplit="1" topLeftCell="B137" activePane="bottomRight" state="frozen"/>
      <selection pane="topRight" activeCell="B1" sqref="B1"/>
      <selection pane="bottomLeft" activeCell="A2" sqref="A2"/>
      <selection pane="bottomRight" activeCell="G9" sqref="G9:G11"/>
    </sheetView>
  </sheetViews>
  <sheetFormatPr defaultColWidth="9.109375" defaultRowHeight="13.2" x14ac:dyDescent="0.25"/>
  <cols>
    <col min="1" max="1" width="11.44140625" style="6" bestFit="1" customWidth="1"/>
    <col min="2" max="2" width="43" style="6" customWidth="1"/>
    <col min="3" max="6" width="8.5546875" style="6" customWidth="1"/>
    <col min="7" max="7" width="35.6640625" style="6" customWidth="1"/>
    <col min="8" max="8" width="5.6640625" style="18" customWidth="1"/>
    <col min="9" max="9" width="42.6640625" style="11" customWidth="1"/>
    <col min="10" max="10" width="19" style="11" customWidth="1"/>
    <col min="11" max="11" width="14.44140625" style="11" bestFit="1" customWidth="1"/>
    <col min="12" max="14" width="11.33203125" style="11" customWidth="1"/>
    <col min="15" max="15" width="16" style="11" bestFit="1" customWidth="1"/>
    <col min="16" max="1029" width="17.6640625" style="11" customWidth="1"/>
    <col min="1030" max="16384" width="9.109375" style="14"/>
  </cols>
  <sheetData>
    <row r="1" spans="1:15" s="39" customFormat="1" ht="30" customHeight="1" x14ac:dyDescent="0.25">
      <c r="A1" s="35" t="s">
        <v>524</v>
      </c>
      <c r="B1" s="35" t="s">
        <v>525</v>
      </c>
      <c r="C1" s="35" t="s">
        <v>564</v>
      </c>
      <c r="D1" s="35" t="s">
        <v>560</v>
      </c>
      <c r="E1" s="35" t="s">
        <v>556</v>
      </c>
      <c r="F1" s="35" t="s">
        <v>528</v>
      </c>
      <c r="G1" s="35" t="s">
        <v>539</v>
      </c>
      <c r="H1" s="35" t="s">
        <v>523</v>
      </c>
      <c r="I1" s="35" t="s">
        <v>0</v>
      </c>
      <c r="J1" s="35" t="s">
        <v>667</v>
      </c>
      <c r="K1" s="35" t="s">
        <v>668</v>
      </c>
      <c r="L1" s="36" t="s">
        <v>6</v>
      </c>
      <c r="M1" s="37" t="s">
        <v>7</v>
      </c>
      <c r="N1" s="38" t="s">
        <v>8</v>
      </c>
      <c r="O1" s="76" t="s">
        <v>1039</v>
      </c>
    </row>
    <row r="2" spans="1:15" s="4" customFormat="1" ht="30" x14ac:dyDescent="0.25">
      <c r="A2" s="2">
        <v>1</v>
      </c>
      <c r="B2" s="2" t="s">
        <v>11</v>
      </c>
      <c r="C2" s="2" t="s">
        <v>561</v>
      </c>
      <c r="D2" s="2">
        <v>2</v>
      </c>
      <c r="E2" s="2" t="s">
        <v>572</v>
      </c>
      <c r="F2" s="87" t="s">
        <v>567</v>
      </c>
      <c r="G2" s="87" t="s">
        <v>630</v>
      </c>
      <c r="H2" s="2">
        <v>1</v>
      </c>
      <c r="I2" s="2" t="s">
        <v>631</v>
      </c>
      <c r="J2" s="2" t="s">
        <v>617</v>
      </c>
      <c r="K2" s="2" t="s">
        <v>5</v>
      </c>
    </row>
    <row r="3" spans="1:15" s="4" customFormat="1" ht="45" x14ac:dyDescent="0.25">
      <c r="A3" s="2">
        <v>2</v>
      </c>
      <c r="B3" s="2" t="s">
        <v>12</v>
      </c>
      <c r="C3" s="2" t="s">
        <v>561</v>
      </c>
      <c r="D3" s="2">
        <v>8</v>
      </c>
      <c r="E3" s="2" t="s">
        <v>572</v>
      </c>
      <c r="F3" s="2" t="s">
        <v>567</v>
      </c>
      <c r="G3" s="2" t="s">
        <v>555</v>
      </c>
      <c r="H3" s="2">
        <v>1</v>
      </c>
      <c r="I3" s="2" t="s">
        <v>626</v>
      </c>
      <c r="J3" s="2" t="s">
        <v>617</v>
      </c>
      <c r="K3" s="2" t="s">
        <v>5</v>
      </c>
    </row>
    <row r="4" spans="1:15" s="4" customFormat="1" ht="75" x14ac:dyDescent="0.25">
      <c r="A4" s="2">
        <v>3</v>
      </c>
      <c r="B4" s="2" t="s">
        <v>179</v>
      </c>
      <c r="C4" s="2" t="s">
        <v>561</v>
      </c>
      <c r="D4" s="2">
        <v>20</v>
      </c>
      <c r="E4" s="2" t="s">
        <v>572</v>
      </c>
      <c r="F4" s="2" t="s">
        <v>571</v>
      </c>
      <c r="G4" s="2" t="s">
        <v>543</v>
      </c>
      <c r="H4" s="2">
        <v>1</v>
      </c>
      <c r="I4" s="2" t="s">
        <v>632</v>
      </c>
      <c r="J4" s="2" t="s">
        <v>617</v>
      </c>
      <c r="K4" s="2" t="s">
        <v>5</v>
      </c>
    </row>
    <row r="5" spans="1:15" s="4" customFormat="1" ht="45" x14ac:dyDescent="0.25">
      <c r="A5" s="2">
        <v>4</v>
      </c>
      <c r="B5" s="2" t="s">
        <v>180</v>
      </c>
      <c r="C5" s="2" t="s">
        <v>523</v>
      </c>
      <c r="D5" s="2">
        <v>0</v>
      </c>
      <c r="E5" s="2" t="s">
        <v>572</v>
      </c>
      <c r="F5" s="2"/>
      <c r="G5" s="2"/>
      <c r="H5" s="2">
        <v>1</v>
      </c>
      <c r="I5" s="2" t="s">
        <v>633</v>
      </c>
      <c r="J5" s="2" t="s">
        <v>617</v>
      </c>
      <c r="K5" s="2" t="s">
        <v>5</v>
      </c>
    </row>
    <row r="6" spans="1:15" s="4" customFormat="1" ht="30" x14ac:dyDescent="0.25">
      <c r="A6" s="2">
        <v>5</v>
      </c>
      <c r="B6" s="2" t="s">
        <v>181</v>
      </c>
      <c r="C6" s="2" t="s">
        <v>561</v>
      </c>
      <c r="D6" s="2">
        <v>80</v>
      </c>
      <c r="E6" s="2" t="s">
        <v>573</v>
      </c>
      <c r="F6" s="2" t="s">
        <v>571</v>
      </c>
      <c r="G6" s="2" t="s">
        <v>542</v>
      </c>
      <c r="H6" s="2">
        <v>1</v>
      </c>
      <c r="I6" s="2" t="s">
        <v>922</v>
      </c>
      <c r="J6" s="2" t="s">
        <v>617</v>
      </c>
      <c r="K6" s="2" t="s">
        <v>5</v>
      </c>
    </row>
    <row r="7" spans="1:15" s="4" customFormat="1" ht="45" x14ac:dyDescent="0.25">
      <c r="A7" s="2">
        <v>6</v>
      </c>
      <c r="B7" s="2" t="s">
        <v>182</v>
      </c>
      <c r="C7" s="2" t="s">
        <v>561</v>
      </c>
      <c r="D7" s="2">
        <v>1</v>
      </c>
      <c r="E7" s="2" t="s">
        <v>572</v>
      </c>
      <c r="F7" s="2" t="s">
        <v>568</v>
      </c>
      <c r="G7" s="2" t="s">
        <v>634</v>
      </c>
      <c r="H7" s="2">
        <v>1</v>
      </c>
      <c r="I7" s="2" t="s">
        <v>635</v>
      </c>
      <c r="J7" s="2" t="s">
        <v>617</v>
      </c>
      <c r="K7" s="2" t="s">
        <v>5</v>
      </c>
    </row>
    <row r="8" spans="1:15" s="15" customFormat="1" ht="62.4" x14ac:dyDescent="0.25">
      <c r="A8" s="88" t="s">
        <v>419</v>
      </c>
      <c r="B8" s="176" t="s">
        <v>416</v>
      </c>
      <c r="C8" s="177"/>
      <c r="D8" s="177"/>
      <c r="E8" s="177"/>
      <c r="F8" s="177"/>
      <c r="G8" s="178"/>
      <c r="H8" s="2">
        <v>1</v>
      </c>
      <c r="I8" s="88" t="s">
        <v>641</v>
      </c>
      <c r="J8" s="88" t="s">
        <v>617</v>
      </c>
      <c r="K8" s="88" t="s">
        <v>5</v>
      </c>
    </row>
    <row r="9" spans="1:15" s="4" customFormat="1" ht="45" x14ac:dyDescent="0.25">
      <c r="A9" s="174">
        <v>7</v>
      </c>
      <c r="B9" s="174" t="s">
        <v>183</v>
      </c>
      <c r="C9" s="174" t="s">
        <v>565</v>
      </c>
      <c r="D9" s="174">
        <v>11</v>
      </c>
      <c r="E9" s="174" t="s">
        <v>572</v>
      </c>
      <c r="F9" s="174" t="s">
        <v>636</v>
      </c>
      <c r="G9" s="174" t="s">
        <v>638</v>
      </c>
      <c r="H9" s="2">
        <v>1</v>
      </c>
      <c r="I9" s="2" t="s">
        <v>637</v>
      </c>
      <c r="J9" s="2" t="s">
        <v>617</v>
      </c>
      <c r="K9" s="2" t="s">
        <v>5</v>
      </c>
    </row>
    <row r="10" spans="1:15" s="4" customFormat="1" ht="60" x14ac:dyDescent="0.25">
      <c r="A10" s="179"/>
      <c r="B10" s="179"/>
      <c r="C10" s="179"/>
      <c r="D10" s="179"/>
      <c r="E10" s="179"/>
      <c r="F10" s="179"/>
      <c r="G10" s="179"/>
      <c r="H10" s="2">
        <v>2</v>
      </c>
      <c r="I10" s="2" t="s">
        <v>666</v>
      </c>
      <c r="J10" s="2" t="s">
        <v>617</v>
      </c>
      <c r="K10" s="2" t="s">
        <v>5</v>
      </c>
    </row>
    <row r="11" spans="1:15" s="4" customFormat="1" ht="90" x14ac:dyDescent="0.25">
      <c r="A11" s="175"/>
      <c r="B11" s="175"/>
      <c r="C11" s="175"/>
      <c r="D11" s="175"/>
      <c r="E11" s="175"/>
      <c r="F11" s="175"/>
      <c r="G11" s="175"/>
      <c r="H11" s="2">
        <v>3</v>
      </c>
      <c r="I11" s="2" t="s">
        <v>923</v>
      </c>
      <c r="J11" s="2" t="s">
        <v>617</v>
      </c>
      <c r="K11" s="2" t="s">
        <v>5</v>
      </c>
    </row>
    <row r="12" spans="1:15" s="4" customFormat="1" ht="45" x14ac:dyDescent="0.25">
      <c r="A12" s="174">
        <v>8</v>
      </c>
      <c r="B12" s="174" t="s">
        <v>184</v>
      </c>
      <c r="C12" s="174" t="s">
        <v>565</v>
      </c>
      <c r="D12" s="174">
        <v>11</v>
      </c>
      <c r="E12" s="174" t="s">
        <v>572</v>
      </c>
      <c r="F12" s="174" t="s">
        <v>636</v>
      </c>
      <c r="G12" s="174" t="s">
        <v>638</v>
      </c>
      <c r="H12" s="2">
        <v>1</v>
      </c>
      <c r="I12" s="2" t="s">
        <v>637</v>
      </c>
      <c r="J12" s="2" t="s">
        <v>617</v>
      </c>
      <c r="K12" s="2" t="s">
        <v>5</v>
      </c>
    </row>
    <row r="13" spans="1:15" s="4" customFormat="1" ht="60" x14ac:dyDescent="0.25">
      <c r="A13" s="179"/>
      <c r="B13" s="179"/>
      <c r="C13" s="179"/>
      <c r="D13" s="179"/>
      <c r="E13" s="179"/>
      <c r="F13" s="179"/>
      <c r="G13" s="179"/>
      <c r="H13" s="2">
        <v>2</v>
      </c>
      <c r="I13" s="2" t="s">
        <v>666</v>
      </c>
      <c r="J13" s="2" t="s">
        <v>617</v>
      </c>
      <c r="K13" s="2" t="s">
        <v>5</v>
      </c>
    </row>
    <row r="14" spans="1:15" s="4" customFormat="1" ht="90" x14ac:dyDescent="0.25">
      <c r="A14" s="175"/>
      <c r="B14" s="175"/>
      <c r="C14" s="175"/>
      <c r="D14" s="175"/>
      <c r="E14" s="175"/>
      <c r="F14" s="175"/>
      <c r="G14" s="175"/>
      <c r="H14" s="2">
        <v>3</v>
      </c>
      <c r="I14" s="2" t="s">
        <v>923</v>
      </c>
      <c r="J14" s="2" t="s">
        <v>617</v>
      </c>
      <c r="K14" s="2" t="s">
        <v>5</v>
      </c>
    </row>
    <row r="15" spans="1:15" s="4" customFormat="1" ht="60" x14ac:dyDescent="0.25">
      <c r="A15" s="174">
        <v>9</v>
      </c>
      <c r="B15" s="174" t="s">
        <v>185</v>
      </c>
      <c r="C15" s="174" t="s">
        <v>565</v>
      </c>
      <c r="D15" s="174">
        <v>11</v>
      </c>
      <c r="E15" s="174" t="s">
        <v>572</v>
      </c>
      <c r="F15" s="174" t="s">
        <v>636</v>
      </c>
      <c r="G15" s="174" t="s">
        <v>638</v>
      </c>
      <c r="H15" s="2">
        <v>1</v>
      </c>
      <c r="I15" s="2" t="s">
        <v>639</v>
      </c>
      <c r="J15" s="2" t="s">
        <v>617</v>
      </c>
      <c r="K15" s="2" t="s">
        <v>5</v>
      </c>
    </row>
    <row r="16" spans="1:15" s="4" customFormat="1" ht="60" x14ac:dyDescent="0.25">
      <c r="A16" s="179"/>
      <c r="B16" s="179"/>
      <c r="C16" s="179"/>
      <c r="D16" s="179"/>
      <c r="E16" s="179"/>
      <c r="F16" s="179"/>
      <c r="G16" s="179"/>
      <c r="H16" s="2">
        <v>2</v>
      </c>
      <c r="I16" s="2" t="s">
        <v>666</v>
      </c>
      <c r="J16" s="2" t="s">
        <v>617</v>
      </c>
      <c r="K16" s="2" t="s">
        <v>5</v>
      </c>
    </row>
    <row r="17" spans="1:11" s="4" customFormat="1" ht="90" x14ac:dyDescent="0.25">
      <c r="A17" s="175"/>
      <c r="B17" s="175"/>
      <c r="C17" s="175"/>
      <c r="D17" s="175"/>
      <c r="E17" s="175"/>
      <c r="F17" s="175"/>
      <c r="G17" s="175"/>
      <c r="H17" s="2">
        <v>3</v>
      </c>
      <c r="I17" s="2" t="s">
        <v>923</v>
      </c>
      <c r="J17" s="2" t="s">
        <v>617</v>
      </c>
      <c r="K17" s="2" t="s">
        <v>5</v>
      </c>
    </row>
    <row r="18" spans="1:11" s="4" customFormat="1" ht="60" x14ac:dyDescent="0.25">
      <c r="A18" s="174">
        <v>10</v>
      </c>
      <c r="B18" s="174" t="s">
        <v>186</v>
      </c>
      <c r="C18" s="174" t="s">
        <v>565</v>
      </c>
      <c r="D18" s="174">
        <v>11</v>
      </c>
      <c r="E18" s="174" t="s">
        <v>572</v>
      </c>
      <c r="F18" s="174" t="s">
        <v>636</v>
      </c>
      <c r="G18" s="174" t="s">
        <v>638</v>
      </c>
      <c r="H18" s="2">
        <v>1</v>
      </c>
      <c r="I18" s="2" t="s">
        <v>639</v>
      </c>
      <c r="J18" s="2" t="s">
        <v>617</v>
      </c>
      <c r="K18" s="2" t="s">
        <v>5</v>
      </c>
    </row>
    <row r="19" spans="1:11" s="4" customFormat="1" ht="60" x14ac:dyDescent="0.25">
      <c r="A19" s="179"/>
      <c r="B19" s="179"/>
      <c r="C19" s="179"/>
      <c r="D19" s="179"/>
      <c r="E19" s="179"/>
      <c r="F19" s="179"/>
      <c r="G19" s="179"/>
      <c r="H19" s="2">
        <v>2</v>
      </c>
      <c r="I19" s="2" t="s">
        <v>666</v>
      </c>
      <c r="J19" s="2" t="s">
        <v>617</v>
      </c>
      <c r="K19" s="2" t="s">
        <v>5</v>
      </c>
    </row>
    <row r="20" spans="1:11" s="4" customFormat="1" ht="90" x14ac:dyDescent="0.25">
      <c r="A20" s="175"/>
      <c r="B20" s="175"/>
      <c r="C20" s="175"/>
      <c r="D20" s="175"/>
      <c r="E20" s="175"/>
      <c r="F20" s="175"/>
      <c r="G20" s="175"/>
      <c r="H20" s="2">
        <v>3</v>
      </c>
      <c r="I20" s="2" t="s">
        <v>923</v>
      </c>
      <c r="J20" s="2" t="s">
        <v>617</v>
      </c>
      <c r="K20" s="2" t="s">
        <v>5</v>
      </c>
    </row>
    <row r="21" spans="1:11" s="4" customFormat="1" ht="60" x14ac:dyDescent="0.25">
      <c r="A21" s="174">
        <v>11</v>
      </c>
      <c r="B21" s="174" t="s">
        <v>187</v>
      </c>
      <c r="C21" s="174" t="s">
        <v>565</v>
      </c>
      <c r="D21" s="174">
        <v>11</v>
      </c>
      <c r="E21" s="174" t="s">
        <v>572</v>
      </c>
      <c r="F21" s="174" t="s">
        <v>636</v>
      </c>
      <c r="G21" s="174" t="s">
        <v>638</v>
      </c>
      <c r="H21" s="2">
        <v>1</v>
      </c>
      <c r="I21" s="2" t="s">
        <v>640</v>
      </c>
      <c r="J21" s="2" t="s">
        <v>617</v>
      </c>
      <c r="K21" s="2" t="s">
        <v>5</v>
      </c>
    </row>
    <row r="22" spans="1:11" s="4" customFormat="1" ht="60" x14ac:dyDescent="0.25">
      <c r="A22" s="179"/>
      <c r="B22" s="179"/>
      <c r="C22" s="179"/>
      <c r="D22" s="179"/>
      <c r="E22" s="179"/>
      <c r="F22" s="179"/>
      <c r="G22" s="179"/>
      <c r="H22" s="2">
        <v>2</v>
      </c>
      <c r="I22" s="2" t="s">
        <v>666</v>
      </c>
      <c r="J22" s="2" t="s">
        <v>617</v>
      </c>
      <c r="K22" s="2" t="s">
        <v>5</v>
      </c>
    </row>
    <row r="23" spans="1:11" s="4" customFormat="1" ht="90" x14ac:dyDescent="0.25">
      <c r="A23" s="175"/>
      <c r="B23" s="175"/>
      <c r="C23" s="175"/>
      <c r="D23" s="175"/>
      <c r="E23" s="175"/>
      <c r="F23" s="175"/>
      <c r="G23" s="175"/>
      <c r="H23" s="2">
        <v>3</v>
      </c>
      <c r="I23" s="2" t="s">
        <v>923</v>
      </c>
      <c r="J23" s="2" t="s">
        <v>617</v>
      </c>
      <c r="K23" s="2" t="s">
        <v>5</v>
      </c>
    </row>
    <row r="24" spans="1:11" s="4" customFormat="1" ht="60" x14ac:dyDescent="0.25">
      <c r="A24" s="174">
        <v>12</v>
      </c>
      <c r="B24" s="174" t="s">
        <v>188</v>
      </c>
      <c r="C24" s="174" t="s">
        <v>565</v>
      </c>
      <c r="D24" s="174">
        <v>11</v>
      </c>
      <c r="E24" s="174" t="s">
        <v>572</v>
      </c>
      <c r="F24" s="174" t="s">
        <v>636</v>
      </c>
      <c r="G24" s="174" t="s">
        <v>638</v>
      </c>
      <c r="H24" s="2">
        <v>1</v>
      </c>
      <c r="I24" s="2" t="s">
        <v>640</v>
      </c>
      <c r="J24" s="2" t="s">
        <v>617</v>
      </c>
      <c r="K24" s="2" t="s">
        <v>5</v>
      </c>
    </row>
    <row r="25" spans="1:11" s="4" customFormat="1" ht="60" x14ac:dyDescent="0.25">
      <c r="A25" s="179"/>
      <c r="B25" s="179"/>
      <c r="C25" s="179"/>
      <c r="D25" s="179"/>
      <c r="E25" s="179"/>
      <c r="F25" s="179"/>
      <c r="G25" s="179"/>
      <c r="H25" s="2">
        <v>2</v>
      </c>
      <c r="I25" s="2" t="s">
        <v>666</v>
      </c>
      <c r="J25" s="2" t="s">
        <v>617</v>
      </c>
      <c r="K25" s="2" t="s">
        <v>5</v>
      </c>
    </row>
    <row r="26" spans="1:11" s="4" customFormat="1" ht="90" x14ac:dyDescent="0.25">
      <c r="A26" s="175"/>
      <c r="B26" s="175"/>
      <c r="C26" s="175"/>
      <c r="D26" s="175"/>
      <c r="E26" s="175"/>
      <c r="F26" s="175"/>
      <c r="G26" s="175"/>
      <c r="H26" s="2">
        <v>3</v>
      </c>
      <c r="I26" s="2" t="s">
        <v>923</v>
      </c>
      <c r="J26" s="2" t="s">
        <v>617</v>
      </c>
      <c r="K26" s="2" t="s">
        <v>5</v>
      </c>
    </row>
    <row r="27" spans="1:11" s="4" customFormat="1" ht="60" x14ac:dyDescent="0.25">
      <c r="A27" s="174">
        <v>13</v>
      </c>
      <c r="B27" s="174" t="s">
        <v>189</v>
      </c>
      <c r="C27" s="174" t="s">
        <v>565</v>
      </c>
      <c r="D27" s="174">
        <v>11</v>
      </c>
      <c r="E27" s="174" t="s">
        <v>572</v>
      </c>
      <c r="F27" s="174" t="s">
        <v>636</v>
      </c>
      <c r="G27" s="174" t="s">
        <v>638</v>
      </c>
      <c r="H27" s="2">
        <v>1</v>
      </c>
      <c r="I27" s="2" t="s">
        <v>640</v>
      </c>
      <c r="J27" s="2" t="s">
        <v>617</v>
      </c>
      <c r="K27" s="2" t="s">
        <v>5</v>
      </c>
    </row>
    <row r="28" spans="1:11" s="4" customFormat="1" ht="60" x14ac:dyDescent="0.25">
      <c r="A28" s="179"/>
      <c r="B28" s="179"/>
      <c r="C28" s="179"/>
      <c r="D28" s="179"/>
      <c r="E28" s="179"/>
      <c r="F28" s="179"/>
      <c r="G28" s="179"/>
      <c r="H28" s="2">
        <v>2</v>
      </c>
      <c r="I28" s="2" t="s">
        <v>666</v>
      </c>
      <c r="J28" s="2" t="s">
        <v>617</v>
      </c>
      <c r="K28" s="2" t="s">
        <v>5</v>
      </c>
    </row>
    <row r="29" spans="1:11" s="4" customFormat="1" ht="90" x14ac:dyDescent="0.25">
      <c r="A29" s="175"/>
      <c r="B29" s="175"/>
      <c r="C29" s="175"/>
      <c r="D29" s="175"/>
      <c r="E29" s="175"/>
      <c r="F29" s="175"/>
      <c r="G29" s="175"/>
      <c r="H29" s="2">
        <v>3</v>
      </c>
      <c r="I29" s="2" t="s">
        <v>923</v>
      </c>
      <c r="J29" s="2" t="s">
        <v>617</v>
      </c>
      <c r="K29" s="2" t="s">
        <v>5</v>
      </c>
    </row>
    <row r="30" spans="1:11" s="4" customFormat="1" ht="105" x14ac:dyDescent="0.25">
      <c r="A30" s="2">
        <v>14</v>
      </c>
      <c r="B30" s="2" t="s">
        <v>413</v>
      </c>
      <c r="C30" s="2" t="s">
        <v>561</v>
      </c>
      <c r="D30" s="2">
        <v>1</v>
      </c>
      <c r="E30" s="2" t="s">
        <v>572</v>
      </c>
      <c r="F30" s="2" t="s">
        <v>568</v>
      </c>
      <c r="G30" s="2" t="s">
        <v>1158</v>
      </c>
      <c r="H30" s="2">
        <v>1</v>
      </c>
      <c r="I30" s="2" t="s">
        <v>659</v>
      </c>
      <c r="J30" s="2" t="s">
        <v>617</v>
      </c>
      <c r="K30" s="2" t="s">
        <v>5</v>
      </c>
    </row>
    <row r="31" spans="1:11" s="15" customFormat="1" ht="62.4" x14ac:dyDescent="0.25">
      <c r="A31" s="180" t="s">
        <v>652</v>
      </c>
      <c r="B31" s="182" t="s">
        <v>190</v>
      </c>
      <c r="C31" s="183"/>
      <c r="D31" s="183"/>
      <c r="E31" s="183"/>
      <c r="F31" s="183"/>
      <c r="G31" s="184"/>
      <c r="H31" s="88">
        <v>1</v>
      </c>
      <c r="I31" s="88" t="s">
        <v>924</v>
      </c>
      <c r="J31" s="88" t="s">
        <v>617</v>
      </c>
      <c r="K31" s="88" t="s">
        <v>5</v>
      </c>
    </row>
    <row r="32" spans="1:11" s="15" customFormat="1" ht="46.8" x14ac:dyDescent="0.25">
      <c r="A32" s="181"/>
      <c r="B32" s="185"/>
      <c r="C32" s="186"/>
      <c r="D32" s="186"/>
      <c r="E32" s="186"/>
      <c r="F32" s="186"/>
      <c r="G32" s="187"/>
      <c r="H32" s="88">
        <v>2</v>
      </c>
      <c r="I32" s="88" t="s">
        <v>925</v>
      </c>
      <c r="J32" s="88"/>
      <c r="K32" s="88"/>
    </row>
    <row r="33" spans="1:11" s="4" customFormat="1" ht="75" x14ac:dyDescent="0.25">
      <c r="A33" s="2">
        <v>15</v>
      </c>
      <c r="B33" s="2" t="s">
        <v>191</v>
      </c>
      <c r="C33" s="2" t="s">
        <v>565</v>
      </c>
      <c r="D33" s="2">
        <v>5</v>
      </c>
      <c r="E33" s="2" t="s">
        <v>572</v>
      </c>
      <c r="F33" s="2" t="s">
        <v>567</v>
      </c>
      <c r="G33" s="2" t="s">
        <v>648</v>
      </c>
      <c r="H33" s="2">
        <v>1</v>
      </c>
      <c r="I33" s="2" t="s">
        <v>926</v>
      </c>
      <c r="J33" s="2" t="s">
        <v>617</v>
      </c>
      <c r="K33" s="2" t="s">
        <v>5</v>
      </c>
    </row>
    <row r="34" spans="1:11" s="4" customFormat="1" ht="75" x14ac:dyDescent="0.25">
      <c r="A34" s="2">
        <v>16</v>
      </c>
      <c r="B34" s="2" t="s">
        <v>192</v>
      </c>
      <c r="C34" s="2" t="s">
        <v>565</v>
      </c>
      <c r="D34" s="2">
        <v>5</v>
      </c>
      <c r="E34" s="2" t="s">
        <v>572</v>
      </c>
      <c r="F34" s="2" t="s">
        <v>567</v>
      </c>
      <c r="G34" s="2" t="s">
        <v>648</v>
      </c>
      <c r="H34" s="2">
        <v>1</v>
      </c>
      <c r="I34" s="2" t="s">
        <v>926</v>
      </c>
      <c r="J34" s="2" t="s">
        <v>617</v>
      </c>
      <c r="K34" s="2" t="s">
        <v>5</v>
      </c>
    </row>
    <row r="35" spans="1:11" s="4" customFormat="1" ht="75" x14ac:dyDescent="0.25">
      <c r="A35" s="2">
        <v>17</v>
      </c>
      <c r="B35" s="2" t="s">
        <v>193</v>
      </c>
      <c r="C35" s="2" t="s">
        <v>565</v>
      </c>
      <c r="D35" s="2">
        <v>5</v>
      </c>
      <c r="E35" s="2" t="s">
        <v>572</v>
      </c>
      <c r="F35" s="2" t="s">
        <v>567</v>
      </c>
      <c r="G35" s="2" t="s">
        <v>648</v>
      </c>
      <c r="H35" s="2">
        <v>1</v>
      </c>
      <c r="I35" s="2" t="s">
        <v>926</v>
      </c>
      <c r="J35" s="2" t="s">
        <v>617</v>
      </c>
      <c r="K35" s="2" t="s">
        <v>5</v>
      </c>
    </row>
    <row r="36" spans="1:11" s="4" customFormat="1" ht="75" x14ac:dyDescent="0.25">
      <c r="A36" s="2">
        <v>18</v>
      </c>
      <c r="B36" s="2" t="s">
        <v>194</v>
      </c>
      <c r="C36" s="2" t="s">
        <v>565</v>
      </c>
      <c r="D36" s="2">
        <v>5</v>
      </c>
      <c r="E36" s="2" t="s">
        <v>572</v>
      </c>
      <c r="F36" s="2" t="s">
        <v>567</v>
      </c>
      <c r="G36" s="2" t="s">
        <v>648</v>
      </c>
      <c r="H36" s="2">
        <v>1</v>
      </c>
      <c r="I36" s="2" t="s">
        <v>926</v>
      </c>
      <c r="J36" s="2" t="s">
        <v>617</v>
      </c>
      <c r="K36" s="2" t="s">
        <v>5</v>
      </c>
    </row>
    <row r="37" spans="1:11" s="4" customFormat="1" ht="75" x14ac:dyDescent="0.25">
      <c r="A37" s="2">
        <v>19</v>
      </c>
      <c r="B37" s="2" t="s">
        <v>195</v>
      </c>
      <c r="C37" s="2" t="s">
        <v>565</v>
      </c>
      <c r="D37" s="2">
        <v>5</v>
      </c>
      <c r="E37" s="2" t="s">
        <v>572</v>
      </c>
      <c r="F37" s="2" t="s">
        <v>567</v>
      </c>
      <c r="G37" s="2" t="s">
        <v>648</v>
      </c>
      <c r="H37" s="2">
        <v>1</v>
      </c>
      <c r="I37" s="2" t="s">
        <v>926</v>
      </c>
      <c r="J37" s="2" t="s">
        <v>617</v>
      </c>
      <c r="K37" s="2" t="s">
        <v>5</v>
      </c>
    </row>
    <row r="38" spans="1:11" s="4" customFormat="1" ht="75" x14ac:dyDescent="0.25">
      <c r="A38" s="2">
        <v>20</v>
      </c>
      <c r="B38" s="2" t="s">
        <v>196</v>
      </c>
      <c r="C38" s="2" t="s">
        <v>565</v>
      </c>
      <c r="D38" s="2">
        <v>5</v>
      </c>
      <c r="E38" s="2" t="s">
        <v>572</v>
      </c>
      <c r="F38" s="2" t="s">
        <v>567</v>
      </c>
      <c r="G38" s="2" t="s">
        <v>648</v>
      </c>
      <c r="H38" s="2">
        <v>1</v>
      </c>
      <c r="I38" s="2" t="s">
        <v>926</v>
      </c>
      <c r="J38" s="2" t="s">
        <v>617</v>
      </c>
      <c r="K38" s="2" t="s">
        <v>5</v>
      </c>
    </row>
    <row r="39" spans="1:11" s="4" customFormat="1" ht="30" x14ac:dyDescent="0.25">
      <c r="A39" s="174">
        <v>21</v>
      </c>
      <c r="B39" s="174" t="s">
        <v>326</v>
      </c>
      <c r="C39" s="174" t="s">
        <v>561</v>
      </c>
      <c r="D39" s="174">
        <v>1</v>
      </c>
      <c r="E39" s="174" t="s">
        <v>572</v>
      </c>
      <c r="F39" s="174" t="s">
        <v>568</v>
      </c>
      <c r="G39" s="174" t="s">
        <v>642</v>
      </c>
      <c r="H39" s="2">
        <v>1</v>
      </c>
      <c r="I39" s="2" t="s">
        <v>927</v>
      </c>
      <c r="J39" s="2" t="s">
        <v>617</v>
      </c>
      <c r="K39" s="2" t="s">
        <v>5</v>
      </c>
    </row>
    <row r="40" spans="1:11" s="4" customFormat="1" ht="75" x14ac:dyDescent="0.25">
      <c r="A40" s="179"/>
      <c r="B40" s="179"/>
      <c r="C40" s="179"/>
      <c r="D40" s="179"/>
      <c r="E40" s="179"/>
      <c r="F40" s="179"/>
      <c r="G40" s="179"/>
      <c r="H40" s="2">
        <v>2</v>
      </c>
      <c r="I40" s="2" t="s">
        <v>643</v>
      </c>
      <c r="J40" s="2" t="s">
        <v>617</v>
      </c>
      <c r="K40" s="2" t="s">
        <v>5</v>
      </c>
    </row>
    <row r="41" spans="1:11" s="4" customFormat="1" ht="60" x14ac:dyDescent="0.25">
      <c r="A41" s="179"/>
      <c r="B41" s="179"/>
      <c r="C41" s="179"/>
      <c r="D41" s="179"/>
      <c r="E41" s="179"/>
      <c r="F41" s="179"/>
      <c r="G41" s="179"/>
      <c r="H41" s="2">
        <v>3</v>
      </c>
      <c r="I41" s="2" t="s">
        <v>644</v>
      </c>
      <c r="J41" s="2" t="s">
        <v>617</v>
      </c>
      <c r="K41" s="2" t="s">
        <v>5</v>
      </c>
    </row>
    <row r="42" spans="1:11" s="4" customFormat="1" ht="45" x14ac:dyDescent="0.25">
      <c r="A42" s="179"/>
      <c r="B42" s="179"/>
      <c r="C42" s="179"/>
      <c r="D42" s="179"/>
      <c r="E42" s="179"/>
      <c r="F42" s="179"/>
      <c r="G42" s="179"/>
      <c r="H42" s="2">
        <v>4</v>
      </c>
      <c r="I42" s="2" t="s">
        <v>645</v>
      </c>
      <c r="J42" s="2" t="s">
        <v>617</v>
      </c>
      <c r="K42" s="2" t="s">
        <v>5</v>
      </c>
    </row>
    <row r="43" spans="1:11" s="4" customFormat="1" ht="60" x14ac:dyDescent="0.25">
      <c r="A43" s="175"/>
      <c r="B43" s="175"/>
      <c r="C43" s="175"/>
      <c r="D43" s="175"/>
      <c r="E43" s="175"/>
      <c r="F43" s="175"/>
      <c r="G43" s="175"/>
      <c r="H43" s="2">
        <v>5</v>
      </c>
      <c r="I43" s="2" t="s">
        <v>646</v>
      </c>
      <c r="J43" s="2" t="s">
        <v>617</v>
      </c>
      <c r="K43" s="2" t="s">
        <v>5</v>
      </c>
    </row>
    <row r="44" spans="1:11" s="4" customFormat="1" ht="45" x14ac:dyDescent="0.25">
      <c r="A44" s="2">
        <v>22</v>
      </c>
      <c r="B44" s="2" t="s">
        <v>414</v>
      </c>
      <c r="C44" s="2" t="s">
        <v>565</v>
      </c>
      <c r="D44" s="2">
        <v>1</v>
      </c>
      <c r="E44" s="2" t="s">
        <v>572</v>
      </c>
      <c r="F44" s="2" t="s">
        <v>568</v>
      </c>
      <c r="G44" s="2" t="s">
        <v>538</v>
      </c>
      <c r="H44" s="2">
        <v>1</v>
      </c>
      <c r="I44" s="2" t="s">
        <v>660</v>
      </c>
      <c r="J44" s="2" t="s">
        <v>617</v>
      </c>
      <c r="K44" s="2" t="s">
        <v>5</v>
      </c>
    </row>
    <row r="45" spans="1:11" s="4" customFormat="1" ht="75" x14ac:dyDescent="0.25">
      <c r="A45" s="2">
        <v>23</v>
      </c>
      <c r="B45" s="2" t="s">
        <v>450</v>
      </c>
      <c r="C45" s="2" t="s">
        <v>565</v>
      </c>
      <c r="D45" s="2">
        <v>3</v>
      </c>
      <c r="E45" s="2" t="s">
        <v>572</v>
      </c>
      <c r="F45" s="2" t="s">
        <v>568</v>
      </c>
      <c r="G45" s="2" t="s">
        <v>647</v>
      </c>
      <c r="H45" s="2">
        <v>1</v>
      </c>
      <c r="I45" s="2" t="s">
        <v>966</v>
      </c>
      <c r="J45" s="2" t="s">
        <v>617</v>
      </c>
      <c r="K45" s="2" t="s">
        <v>5</v>
      </c>
    </row>
    <row r="46" spans="1:11" s="4" customFormat="1" ht="60" x14ac:dyDescent="0.25">
      <c r="A46" s="174">
        <v>24</v>
      </c>
      <c r="B46" s="174" t="s">
        <v>197</v>
      </c>
      <c r="C46" s="174" t="s">
        <v>565</v>
      </c>
      <c r="D46" s="174">
        <v>2</v>
      </c>
      <c r="E46" s="174" t="s">
        <v>573</v>
      </c>
      <c r="F46" s="174" t="s">
        <v>568</v>
      </c>
      <c r="G46" s="174" t="s">
        <v>654</v>
      </c>
      <c r="H46" s="2">
        <v>1</v>
      </c>
      <c r="I46" s="2" t="s">
        <v>928</v>
      </c>
      <c r="J46" s="2" t="s">
        <v>617</v>
      </c>
      <c r="K46" s="2" t="s">
        <v>5</v>
      </c>
    </row>
    <row r="47" spans="1:11" s="4" customFormat="1" ht="60" x14ac:dyDescent="0.25">
      <c r="A47" s="179"/>
      <c r="B47" s="179"/>
      <c r="C47" s="179"/>
      <c r="D47" s="179"/>
      <c r="E47" s="179"/>
      <c r="F47" s="179"/>
      <c r="G47" s="179"/>
      <c r="H47" s="2">
        <v>2</v>
      </c>
      <c r="I47" s="2" t="s">
        <v>931</v>
      </c>
      <c r="J47" s="2" t="s">
        <v>617</v>
      </c>
      <c r="K47" s="2" t="s">
        <v>5</v>
      </c>
    </row>
    <row r="48" spans="1:11" s="4" customFormat="1" ht="60" x14ac:dyDescent="0.25">
      <c r="A48" s="179"/>
      <c r="B48" s="179"/>
      <c r="C48" s="179"/>
      <c r="D48" s="179"/>
      <c r="E48" s="179"/>
      <c r="F48" s="179"/>
      <c r="G48" s="179"/>
      <c r="H48" s="2">
        <v>3</v>
      </c>
      <c r="I48" s="2" t="s">
        <v>661</v>
      </c>
      <c r="J48" s="2" t="s">
        <v>617</v>
      </c>
      <c r="K48" s="2" t="s">
        <v>5</v>
      </c>
    </row>
    <row r="49" spans="1:11" s="4" customFormat="1" ht="75" x14ac:dyDescent="0.25">
      <c r="A49" s="179"/>
      <c r="B49" s="179"/>
      <c r="C49" s="179"/>
      <c r="D49" s="179"/>
      <c r="E49" s="179"/>
      <c r="F49" s="179"/>
      <c r="G49" s="179"/>
      <c r="H49" s="2">
        <v>4</v>
      </c>
      <c r="I49" s="2" t="s">
        <v>1206</v>
      </c>
      <c r="J49" s="2" t="s">
        <v>617</v>
      </c>
      <c r="K49" s="2" t="s">
        <v>5</v>
      </c>
    </row>
    <row r="50" spans="1:11" s="4" customFormat="1" ht="60" x14ac:dyDescent="0.25">
      <c r="A50" s="179"/>
      <c r="B50" s="179"/>
      <c r="C50" s="179"/>
      <c r="D50" s="179"/>
      <c r="E50" s="179"/>
      <c r="F50" s="179"/>
      <c r="G50" s="179"/>
      <c r="H50" s="2">
        <v>5</v>
      </c>
      <c r="I50" s="2" t="s">
        <v>650</v>
      </c>
      <c r="J50" s="2" t="s">
        <v>617</v>
      </c>
      <c r="K50" s="2" t="s">
        <v>5</v>
      </c>
    </row>
    <row r="51" spans="1:11" s="4" customFormat="1" ht="90" x14ac:dyDescent="0.25">
      <c r="A51" s="179"/>
      <c r="B51" s="179"/>
      <c r="C51" s="179"/>
      <c r="D51" s="179"/>
      <c r="E51" s="179"/>
      <c r="F51" s="179"/>
      <c r="G51" s="179"/>
      <c r="H51" s="2">
        <v>6</v>
      </c>
      <c r="I51" s="2" t="s">
        <v>649</v>
      </c>
      <c r="J51" s="2" t="s">
        <v>617</v>
      </c>
      <c r="K51" s="2" t="s">
        <v>5</v>
      </c>
    </row>
    <row r="52" spans="1:11" s="4" customFormat="1" ht="60" x14ac:dyDescent="0.25">
      <c r="A52" s="179"/>
      <c r="B52" s="179"/>
      <c r="C52" s="179"/>
      <c r="D52" s="179"/>
      <c r="E52" s="179"/>
      <c r="F52" s="179"/>
      <c r="G52" s="179"/>
      <c r="H52" s="2">
        <v>7</v>
      </c>
      <c r="I52" s="2" t="s">
        <v>651</v>
      </c>
      <c r="J52" s="2" t="s">
        <v>617</v>
      </c>
      <c r="K52" s="2" t="s">
        <v>5</v>
      </c>
    </row>
    <row r="53" spans="1:11" s="4" customFormat="1" ht="90" x14ac:dyDescent="0.25">
      <c r="A53" s="179"/>
      <c r="B53" s="179"/>
      <c r="C53" s="179"/>
      <c r="D53" s="179"/>
      <c r="E53" s="179"/>
      <c r="F53" s="179"/>
      <c r="G53" s="179"/>
      <c r="H53" s="2">
        <v>8</v>
      </c>
      <c r="I53" s="2" t="s">
        <v>929</v>
      </c>
      <c r="J53" s="2" t="s">
        <v>617</v>
      </c>
      <c r="K53" s="2" t="s">
        <v>5</v>
      </c>
    </row>
    <row r="54" spans="1:11" s="4" customFormat="1" ht="60" x14ac:dyDescent="0.25">
      <c r="A54" s="179"/>
      <c r="B54" s="179"/>
      <c r="C54" s="179"/>
      <c r="D54" s="179"/>
      <c r="E54" s="179"/>
      <c r="F54" s="179"/>
      <c r="G54" s="179"/>
      <c r="H54" s="2">
        <v>9</v>
      </c>
      <c r="I54" s="2" t="s">
        <v>930</v>
      </c>
      <c r="J54" s="2" t="s">
        <v>617</v>
      </c>
      <c r="K54" s="2" t="s">
        <v>5</v>
      </c>
    </row>
    <row r="55" spans="1:11" s="4" customFormat="1" ht="195" x14ac:dyDescent="0.25">
      <c r="A55" s="175"/>
      <c r="B55" s="175"/>
      <c r="C55" s="175"/>
      <c r="D55" s="175"/>
      <c r="E55" s="175"/>
      <c r="F55" s="175"/>
      <c r="G55" s="175"/>
      <c r="H55" s="2">
        <v>10</v>
      </c>
      <c r="I55" s="2" t="s">
        <v>932</v>
      </c>
      <c r="J55" s="2"/>
      <c r="K55" s="2"/>
    </row>
    <row r="56" spans="1:11" s="4" customFormat="1" ht="75" x14ac:dyDescent="0.25">
      <c r="A56" s="17">
        <v>25</v>
      </c>
      <c r="B56" s="17" t="s">
        <v>1107</v>
      </c>
      <c r="C56" s="17" t="s">
        <v>565</v>
      </c>
      <c r="D56" s="17">
        <v>2</v>
      </c>
      <c r="E56" s="17" t="s">
        <v>572</v>
      </c>
      <c r="F56" s="17" t="s">
        <v>567</v>
      </c>
      <c r="G56" s="17" t="s">
        <v>1168</v>
      </c>
      <c r="H56" s="2">
        <v>1</v>
      </c>
      <c r="I56" s="2" t="s">
        <v>1169</v>
      </c>
      <c r="J56" s="2" t="s">
        <v>617</v>
      </c>
      <c r="K56" s="2" t="s">
        <v>5</v>
      </c>
    </row>
    <row r="57" spans="1:11" s="4" customFormat="1" ht="75" x14ac:dyDescent="0.25">
      <c r="A57" s="2">
        <v>26</v>
      </c>
      <c r="B57" s="2" t="s">
        <v>421</v>
      </c>
      <c r="C57" s="2" t="s">
        <v>565</v>
      </c>
      <c r="D57" s="2">
        <v>8</v>
      </c>
      <c r="E57" s="2" t="s">
        <v>573</v>
      </c>
      <c r="F57" s="2" t="s">
        <v>568</v>
      </c>
      <c r="G57" s="2" t="s">
        <v>655</v>
      </c>
      <c r="H57" s="2">
        <v>1</v>
      </c>
      <c r="I57" s="2" t="s">
        <v>1031</v>
      </c>
      <c r="J57" s="2" t="s">
        <v>617</v>
      </c>
      <c r="K57" s="2" t="s">
        <v>5</v>
      </c>
    </row>
    <row r="58" spans="1:11" s="4" customFormat="1" ht="120" x14ac:dyDescent="0.25">
      <c r="A58" s="16">
        <v>27</v>
      </c>
      <c r="B58" s="146" t="s">
        <v>1281</v>
      </c>
      <c r="C58" s="16" t="s">
        <v>565</v>
      </c>
      <c r="D58" s="16">
        <v>4</v>
      </c>
      <c r="E58" s="16" t="s">
        <v>573</v>
      </c>
      <c r="F58" s="16" t="s">
        <v>567</v>
      </c>
      <c r="G58" s="16" t="s">
        <v>555</v>
      </c>
      <c r="H58" s="2">
        <v>1</v>
      </c>
      <c r="I58" s="110" t="s">
        <v>1280</v>
      </c>
      <c r="J58" s="2" t="s">
        <v>617</v>
      </c>
      <c r="K58" s="2" t="s">
        <v>5</v>
      </c>
    </row>
    <row r="59" spans="1:11" s="4" customFormat="1" ht="45" x14ac:dyDescent="0.25">
      <c r="A59" s="174">
        <v>28</v>
      </c>
      <c r="B59" s="174" t="s">
        <v>338</v>
      </c>
      <c r="C59" s="174" t="s">
        <v>565</v>
      </c>
      <c r="D59" s="174">
        <v>1</v>
      </c>
      <c r="E59" s="174" t="s">
        <v>572</v>
      </c>
      <c r="F59" s="174" t="s">
        <v>568</v>
      </c>
      <c r="G59" s="174" t="s">
        <v>653</v>
      </c>
      <c r="H59" s="2">
        <v>1</v>
      </c>
      <c r="I59" s="2" t="s">
        <v>933</v>
      </c>
      <c r="J59" s="2" t="s">
        <v>617</v>
      </c>
      <c r="K59" s="2" t="s">
        <v>5</v>
      </c>
    </row>
    <row r="60" spans="1:11" s="4" customFormat="1" ht="57.75" customHeight="1" x14ac:dyDescent="0.25">
      <c r="A60" s="175"/>
      <c r="B60" s="175"/>
      <c r="C60" s="175"/>
      <c r="D60" s="175"/>
      <c r="E60" s="175"/>
      <c r="F60" s="175"/>
      <c r="G60" s="175"/>
      <c r="H60" s="2">
        <v>2</v>
      </c>
      <c r="I60" s="2" t="s">
        <v>1095</v>
      </c>
      <c r="J60" s="2" t="s">
        <v>617</v>
      </c>
      <c r="K60" s="2" t="s">
        <v>5</v>
      </c>
    </row>
    <row r="61" spans="1:11" s="4" customFormat="1" ht="30" x14ac:dyDescent="0.25">
      <c r="A61" s="174">
        <v>29</v>
      </c>
      <c r="B61" s="174" t="s">
        <v>415</v>
      </c>
      <c r="C61" s="174" t="s">
        <v>561</v>
      </c>
      <c r="D61" s="174">
        <v>1</v>
      </c>
      <c r="E61" s="174" t="s">
        <v>572</v>
      </c>
      <c r="F61" s="174" t="s">
        <v>568</v>
      </c>
      <c r="G61" s="174" t="s">
        <v>538</v>
      </c>
      <c r="H61" s="2">
        <v>1</v>
      </c>
      <c r="I61" s="2" t="s">
        <v>662</v>
      </c>
      <c r="J61" s="2" t="s">
        <v>617</v>
      </c>
      <c r="K61" s="2" t="s">
        <v>5</v>
      </c>
    </row>
    <row r="62" spans="1:11" s="4" customFormat="1" ht="45" x14ac:dyDescent="0.25">
      <c r="A62" s="175"/>
      <c r="B62" s="175"/>
      <c r="C62" s="175"/>
      <c r="D62" s="175"/>
      <c r="E62" s="175"/>
      <c r="F62" s="175"/>
      <c r="G62" s="175"/>
      <c r="H62" s="2">
        <v>2</v>
      </c>
      <c r="I62" s="2" t="s">
        <v>1096</v>
      </c>
      <c r="J62" s="2" t="s">
        <v>617</v>
      </c>
      <c r="K62" s="2" t="s">
        <v>5</v>
      </c>
    </row>
    <row r="63" spans="1:11" s="15" customFormat="1" ht="62.4" x14ac:dyDescent="0.25">
      <c r="A63" s="88" t="s">
        <v>969</v>
      </c>
      <c r="B63" s="176" t="s">
        <v>417</v>
      </c>
      <c r="C63" s="177"/>
      <c r="D63" s="177"/>
      <c r="E63" s="177"/>
      <c r="F63" s="177"/>
      <c r="G63" s="178"/>
      <c r="H63" s="88">
        <v>1</v>
      </c>
      <c r="I63" s="88" t="s">
        <v>970</v>
      </c>
      <c r="J63" s="88" t="s">
        <v>617</v>
      </c>
      <c r="K63" s="88" t="s">
        <v>5</v>
      </c>
    </row>
    <row r="64" spans="1:11" s="4" customFormat="1" ht="60" x14ac:dyDescent="0.25">
      <c r="A64" s="2">
        <v>30</v>
      </c>
      <c r="B64" s="2" t="s">
        <v>803</v>
      </c>
      <c r="C64" s="16" t="s">
        <v>565</v>
      </c>
      <c r="D64" s="16">
        <v>1</v>
      </c>
      <c r="E64" s="16" t="s">
        <v>572</v>
      </c>
      <c r="F64" s="16" t="s">
        <v>568</v>
      </c>
      <c r="G64" s="16" t="s">
        <v>538</v>
      </c>
      <c r="H64" s="2">
        <v>1</v>
      </c>
      <c r="I64" s="2" t="s">
        <v>663</v>
      </c>
      <c r="J64" s="2" t="s">
        <v>617</v>
      </c>
      <c r="K64" s="2" t="s">
        <v>5</v>
      </c>
    </row>
    <row r="65" spans="1:11" s="4" customFormat="1" ht="60" x14ac:dyDescent="0.25">
      <c r="A65" s="2">
        <v>31</v>
      </c>
      <c r="B65" s="2" t="s">
        <v>804</v>
      </c>
      <c r="C65" s="16" t="s">
        <v>565</v>
      </c>
      <c r="D65" s="16">
        <v>1</v>
      </c>
      <c r="E65" s="16" t="s">
        <v>572</v>
      </c>
      <c r="F65" s="16" t="s">
        <v>568</v>
      </c>
      <c r="G65" s="16" t="s">
        <v>538</v>
      </c>
      <c r="H65" s="2">
        <v>1</v>
      </c>
      <c r="I65" s="2" t="s">
        <v>663</v>
      </c>
      <c r="J65" s="2" t="s">
        <v>617</v>
      </c>
      <c r="K65" s="2" t="s">
        <v>5</v>
      </c>
    </row>
    <row r="66" spans="1:11" s="4" customFormat="1" ht="60" x14ac:dyDescent="0.25">
      <c r="A66" s="2">
        <v>32</v>
      </c>
      <c r="B66" s="2" t="s">
        <v>805</v>
      </c>
      <c r="C66" s="16" t="s">
        <v>565</v>
      </c>
      <c r="D66" s="16">
        <v>1</v>
      </c>
      <c r="E66" s="16" t="s">
        <v>572</v>
      </c>
      <c r="F66" s="16" t="s">
        <v>568</v>
      </c>
      <c r="G66" s="16" t="s">
        <v>538</v>
      </c>
      <c r="H66" s="2">
        <v>1</v>
      </c>
      <c r="I66" s="2" t="s">
        <v>663</v>
      </c>
      <c r="J66" s="2" t="s">
        <v>617</v>
      </c>
      <c r="K66" s="2" t="s">
        <v>5</v>
      </c>
    </row>
    <row r="67" spans="1:11" s="15" customFormat="1" ht="78" x14ac:dyDescent="0.25">
      <c r="A67" s="88" t="s">
        <v>971</v>
      </c>
      <c r="B67" s="176" t="s">
        <v>418</v>
      </c>
      <c r="C67" s="177"/>
      <c r="D67" s="177"/>
      <c r="E67" s="177"/>
      <c r="F67" s="177"/>
      <c r="G67" s="178"/>
      <c r="H67" s="88">
        <v>1</v>
      </c>
      <c r="I67" s="88" t="s">
        <v>972</v>
      </c>
      <c r="J67" s="88" t="s">
        <v>617</v>
      </c>
      <c r="K67" s="88" t="s">
        <v>5</v>
      </c>
    </row>
    <row r="68" spans="1:11" s="4" customFormat="1" ht="60" x14ac:dyDescent="0.25">
      <c r="A68" s="2">
        <v>33</v>
      </c>
      <c r="B68" s="2" t="s">
        <v>343</v>
      </c>
      <c r="C68" s="16" t="s">
        <v>565</v>
      </c>
      <c r="D68" s="16">
        <v>1</v>
      </c>
      <c r="E68" s="16" t="s">
        <v>572</v>
      </c>
      <c r="F68" s="16" t="s">
        <v>568</v>
      </c>
      <c r="G68" s="16" t="s">
        <v>538</v>
      </c>
      <c r="H68" s="2">
        <v>1</v>
      </c>
      <c r="I68" s="2" t="s">
        <v>823</v>
      </c>
      <c r="J68" s="2" t="s">
        <v>617</v>
      </c>
      <c r="K68" s="2" t="s">
        <v>5</v>
      </c>
    </row>
    <row r="69" spans="1:11" s="4" customFormat="1" ht="60" x14ac:dyDescent="0.25">
      <c r="A69" s="2">
        <v>34</v>
      </c>
      <c r="B69" s="2" t="s">
        <v>344</v>
      </c>
      <c r="C69" s="16" t="s">
        <v>565</v>
      </c>
      <c r="D69" s="16">
        <v>1</v>
      </c>
      <c r="E69" s="16" t="s">
        <v>572</v>
      </c>
      <c r="F69" s="16" t="s">
        <v>568</v>
      </c>
      <c r="G69" s="16" t="s">
        <v>538</v>
      </c>
      <c r="H69" s="2">
        <v>1</v>
      </c>
      <c r="I69" s="2" t="s">
        <v>823</v>
      </c>
      <c r="J69" s="2" t="s">
        <v>617</v>
      </c>
      <c r="K69" s="2" t="s">
        <v>5</v>
      </c>
    </row>
    <row r="70" spans="1:11" s="4" customFormat="1" ht="60" x14ac:dyDescent="0.25">
      <c r="A70" s="2">
        <v>35</v>
      </c>
      <c r="B70" s="2" t="s">
        <v>345</v>
      </c>
      <c r="C70" s="16" t="s">
        <v>565</v>
      </c>
      <c r="D70" s="16">
        <v>1</v>
      </c>
      <c r="E70" s="16" t="s">
        <v>572</v>
      </c>
      <c r="F70" s="16" t="s">
        <v>568</v>
      </c>
      <c r="G70" s="16" t="s">
        <v>538</v>
      </c>
      <c r="H70" s="2">
        <v>1</v>
      </c>
      <c r="I70" s="2" t="s">
        <v>823</v>
      </c>
      <c r="J70" s="2" t="s">
        <v>617</v>
      </c>
      <c r="K70" s="2" t="s">
        <v>5</v>
      </c>
    </row>
    <row r="71" spans="1:11" s="4" customFormat="1" ht="60" x14ac:dyDescent="0.25">
      <c r="A71" s="2">
        <v>36</v>
      </c>
      <c r="B71" s="2" t="s">
        <v>346</v>
      </c>
      <c r="C71" s="16" t="s">
        <v>565</v>
      </c>
      <c r="D71" s="16">
        <v>1</v>
      </c>
      <c r="E71" s="16" t="s">
        <v>572</v>
      </c>
      <c r="F71" s="16" t="s">
        <v>568</v>
      </c>
      <c r="G71" s="16" t="s">
        <v>538</v>
      </c>
      <c r="H71" s="2">
        <v>1</v>
      </c>
      <c r="I71" s="2" t="s">
        <v>823</v>
      </c>
      <c r="J71" s="2" t="s">
        <v>617</v>
      </c>
      <c r="K71" s="2" t="s">
        <v>5</v>
      </c>
    </row>
    <row r="72" spans="1:11" s="4" customFormat="1" ht="60" x14ac:dyDescent="0.25">
      <c r="A72" s="2">
        <v>37</v>
      </c>
      <c r="B72" s="2" t="s">
        <v>347</v>
      </c>
      <c r="C72" s="16" t="s">
        <v>565</v>
      </c>
      <c r="D72" s="16">
        <v>1</v>
      </c>
      <c r="E72" s="16" t="s">
        <v>572</v>
      </c>
      <c r="F72" s="16" t="s">
        <v>568</v>
      </c>
      <c r="G72" s="2" t="s">
        <v>657</v>
      </c>
      <c r="H72" s="2">
        <v>1</v>
      </c>
      <c r="I72" s="2" t="s">
        <v>824</v>
      </c>
      <c r="J72" s="2" t="s">
        <v>617</v>
      </c>
      <c r="K72" s="2" t="s">
        <v>5</v>
      </c>
    </row>
    <row r="73" spans="1:11" s="4" customFormat="1" ht="90" x14ac:dyDescent="0.25">
      <c r="A73" s="2">
        <v>38</v>
      </c>
      <c r="B73" s="2" t="s">
        <v>378</v>
      </c>
      <c r="C73" s="2" t="s">
        <v>565</v>
      </c>
      <c r="D73" s="2">
        <v>8</v>
      </c>
      <c r="E73" s="2" t="s">
        <v>573</v>
      </c>
      <c r="F73" s="2" t="s">
        <v>568</v>
      </c>
      <c r="G73" s="2" t="s">
        <v>655</v>
      </c>
      <c r="H73" s="2">
        <v>1</v>
      </c>
      <c r="I73" s="2" t="s">
        <v>658</v>
      </c>
      <c r="J73" s="2" t="s">
        <v>617</v>
      </c>
      <c r="K73" s="2" t="s">
        <v>5</v>
      </c>
    </row>
    <row r="74" spans="1:11" s="15" customFormat="1" ht="78" x14ac:dyDescent="0.25">
      <c r="A74" s="88" t="s">
        <v>973</v>
      </c>
      <c r="B74" s="176" t="s">
        <v>312</v>
      </c>
      <c r="C74" s="177"/>
      <c r="D74" s="177"/>
      <c r="E74" s="177"/>
      <c r="F74" s="177"/>
      <c r="G74" s="178"/>
      <c r="H74" s="88">
        <v>1</v>
      </c>
      <c r="I74" s="88" t="s">
        <v>1229</v>
      </c>
      <c r="J74" s="88" t="s">
        <v>617</v>
      </c>
      <c r="K74" s="88" t="s">
        <v>5</v>
      </c>
    </row>
    <row r="75" spans="1:11" s="4" customFormat="1" ht="45" x14ac:dyDescent="0.25">
      <c r="A75" s="174">
        <v>39</v>
      </c>
      <c r="B75" s="174" t="s">
        <v>198</v>
      </c>
      <c r="C75" s="174" t="s">
        <v>565</v>
      </c>
      <c r="D75" s="174">
        <v>1</v>
      </c>
      <c r="E75" s="174" t="s">
        <v>572</v>
      </c>
      <c r="F75" s="174" t="s">
        <v>568</v>
      </c>
      <c r="G75" s="174" t="s">
        <v>554</v>
      </c>
      <c r="H75" s="2">
        <v>1</v>
      </c>
      <c r="I75" s="2" t="s">
        <v>934</v>
      </c>
      <c r="J75" s="2" t="s">
        <v>617</v>
      </c>
      <c r="K75" s="2" t="s">
        <v>5</v>
      </c>
    </row>
    <row r="76" spans="1:11" s="4" customFormat="1" ht="60" x14ac:dyDescent="0.25">
      <c r="A76" s="179"/>
      <c r="B76" s="179"/>
      <c r="C76" s="179"/>
      <c r="D76" s="179"/>
      <c r="E76" s="179"/>
      <c r="F76" s="179"/>
      <c r="G76" s="179"/>
      <c r="H76" s="2">
        <v>2</v>
      </c>
      <c r="I76" s="2" t="s">
        <v>664</v>
      </c>
      <c r="J76" s="2" t="s">
        <v>617</v>
      </c>
      <c r="K76" s="2" t="s">
        <v>5</v>
      </c>
    </row>
    <row r="77" spans="1:11" s="4" customFormat="1" ht="75" x14ac:dyDescent="0.25">
      <c r="A77" s="175"/>
      <c r="B77" s="175"/>
      <c r="C77" s="175"/>
      <c r="D77" s="175"/>
      <c r="E77" s="175"/>
      <c r="F77" s="175"/>
      <c r="G77" s="175"/>
      <c r="H77" s="2">
        <v>3</v>
      </c>
      <c r="I77" s="2" t="s">
        <v>665</v>
      </c>
      <c r="J77" s="2" t="s">
        <v>617</v>
      </c>
      <c r="K77" s="2" t="s">
        <v>5</v>
      </c>
    </row>
    <row r="78" spans="1:11" s="4" customFormat="1" ht="45" x14ac:dyDescent="0.25">
      <c r="A78" s="174">
        <v>40</v>
      </c>
      <c r="B78" s="174" t="s">
        <v>199</v>
      </c>
      <c r="C78" s="174" t="s">
        <v>565</v>
      </c>
      <c r="D78" s="174">
        <v>1</v>
      </c>
      <c r="E78" s="174" t="s">
        <v>572</v>
      </c>
      <c r="F78" s="174" t="s">
        <v>568</v>
      </c>
      <c r="G78" s="174" t="s">
        <v>554</v>
      </c>
      <c r="H78" s="2">
        <v>1</v>
      </c>
      <c r="I78" s="2" t="s">
        <v>934</v>
      </c>
      <c r="J78" s="2" t="s">
        <v>617</v>
      </c>
      <c r="K78" s="2" t="s">
        <v>5</v>
      </c>
    </row>
    <row r="79" spans="1:11" s="4" customFormat="1" ht="60" x14ac:dyDescent="0.25">
      <c r="A79" s="179"/>
      <c r="B79" s="179"/>
      <c r="C79" s="179"/>
      <c r="D79" s="179"/>
      <c r="E79" s="179"/>
      <c r="F79" s="179"/>
      <c r="G79" s="179"/>
      <c r="H79" s="2">
        <v>2</v>
      </c>
      <c r="I79" s="2" t="s">
        <v>664</v>
      </c>
      <c r="J79" s="2" t="s">
        <v>617</v>
      </c>
      <c r="K79" s="2" t="s">
        <v>5</v>
      </c>
    </row>
    <row r="80" spans="1:11" s="4" customFormat="1" ht="75" x14ac:dyDescent="0.25">
      <c r="A80" s="175"/>
      <c r="B80" s="175"/>
      <c r="C80" s="175"/>
      <c r="D80" s="175"/>
      <c r="E80" s="175"/>
      <c r="F80" s="175"/>
      <c r="G80" s="175"/>
      <c r="H80" s="2">
        <v>3</v>
      </c>
      <c r="I80" s="2" t="s">
        <v>665</v>
      </c>
      <c r="J80" s="2" t="s">
        <v>617</v>
      </c>
      <c r="K80" s="2" t="s">
        <v>5</v>
      </c>
    </row>
    <row r="81" spans="1:11" s="4" customFormat="1" ht="45" x14ac:dyDescent="0.25">
      <c r="A81" s="174">
        <v>41</v>
      </c>
      <c r="B81" s="174" t="s">
        <v>200</v>
      </c>
      <c r="C81" s="174" t="s">
        <v>565</v>
      </c>
      <c r="D81" s="174">
        <v>1</v>
      </c>
      <c r="E81" s="174" t="s">
        <v>572</v>
      </c>
      <c r="F81" s="174" t="s">
        <v>568</v>
      </c>
      <c r="G81" s="174" t="s">
        <v>554</v>
      </c>
      <c r="H81" s="2">
        <v>1</v>
      </c>
      <c r="I81" s="2" t="s">
        <v>934</v>
      </c>
      <c r="J81" s="2" t="s">
        <v>617</v>
      </c>
      <c r="K81" s="2" t="s">
        <v>5</v>
      </c>
    </row>
    <row r="82" spans="1:11" s="4" customFormat="1" ht="60" x14ac:dyDescent="0.25">
      <c r="A82" s="179"/>
      <c r="B82" s="179"/>
      <c r="C82" s="179"/>
      <c r="D82" s="179"/>
      <c r="E82" s="179"/>
      <c r="F82" s="179"/>
      <c r="G82" s="179"/>
      <c r="H82" s="2">
        <v>2</v>
      </c>
      <c r="I82" s="2" t="s">
        <v>664</v>
      </c>
      <c r="J82" s="2" t="s">
        <v>617</v>
      </c>
      <c r="K82" s="2" t="s">
        <v>5</v>
      </c>
    </row>
    <row r="83" spans="1:11" s="4" customFormat="1" ht="75" x14ac:dyDescent="0.25">
      <c r="A83" s="175"/>
      <c r="B83" s="175"/>
      <c r="C83" s="175"/>
      <c r="D83" s="175"/>
      <c r="E83" s="175"/>
      <c r="F83" s="175"/>
      <c r="G83" s="175"/>
      <c r="H83" s="2">
        <v>3</v>
      </c>
      <c r="I83" s="2" t="s">
        <v>665</v>
      </c>
      <c r="J83" s="2" t="s">
        <v>617</v>
      </c>
      <c r="K83" s="2" t="s">
        <v>5</v>
      </c>
    </row>
    <row r="84" spans="1:11" s="4" customFormat="1" ht="45" x14ac:dyDescent="0.25">
      <c r="A84" s="174">
        <v>42</v>
      </c>
      <c r="B84" s="174" t="s">
        <v>201</v>
      </c>
      <c r="C84" s="174" t="s">
        <v>565</v>
      </c>
      <c r="D84" s="174">
        <v>1</v>
      </c>
      <c r="E84" s="174" t="s">
        <v>572</v>
      </c>
      <c r="F84" s="174" t="s">
        <v>568</v>
      </c>
      <c r="G84" s="174" t="s">
        <v>554</v>
      </c>
      <c r="H84" s="2">
        <v>1</v>
      </c>
      <c r="I84" s="2" t="s">
        <v>934</v>
      </c>
      <c r="J84" s="2" t="s">
        <v>617</v>
      </c>
      <c r="K84" s="2" t="s">
        <v>5</v>
      </c>
    </row>
    <row r="85" spans="1:11" s="4" customFormat="1" ht="60" x14ac:dyDescent="0.25">
      <c r="A85" s="179"/>
      <c r="B85" s="179"/>
      <c r="C85" s="179"/>
      <c r="D85" s="179"/>
      <c r="E85" s="179"/>
      <c r="F85" s="179"/>
      <c r="G85" s="179"/>
      <c r="H85" s="2">
        <v>2</v>
      </c>
      <c r="I85" s="2" t="s">
        <v>664</v>
      </c>
      <c r="J85" s="2" t="s">
        <v>617</v>
      </c>
      <c r="K85" s="2" t="s">
        <v>5</v>
      </c>
    </row>
    <row r="86" spans="1:11" s="4" customFormat="1" ht="75" x14ac:dyDescent="0.25">
      <c r="A86" s="175"/>
      <c r="B86" s="175"/>
      <c r="C86" s="175"/>
      <c r="D86" s="175"/>
      <c r="E86" s="175"/>
      <c r="F86" s="175"/>
      <c r="G86" s="175"/>
      <c r="H86" s="2">
        <v>3</v>
      </c>
      <c r="I86" s="2" t="s">
        <v>665</v>
      </c>
      <c r="J86" s="2" t="s">
        <v>617</v>
      </c>
      <c r="K86" s="2" t="s">
        <v>5</v>
      </c>
    </row>
    <row r="87" spans="1:11" s="4" customFormat="1" ht="45" x14ac:dyDescent="0.25">
      <c r="A87" s="174">
        <v>43</v>
      </c>
      <c r="B87" s="174" t="s">
        <v>202</v>
      </c>
      <c r="C87" s="174" t="s">
        <v>565</v>
      </c>
      <c r="D87" s="174">
        <v>1</v>
      </c>
      <c r="E87" s="174" t="s">
        <v>572</v>
      </c>
      <c r="F87" s="174" t="s">
        <v>568</v>
      </c>
      <c r="G87" s="174" t="s">
        <v>554</v>
      </c>
      <c r="H87" s="2">
        <v>1</v>
      </c>
      <c r="I87" s="2" t="s">
        <v>934</v>
      </c>
      <c r="J87" s="2" t="s">
        <v>617</v>
      </c>
      <c r="K87" s="2" t="s">
        <v>5</v>
      </c>
    </row>
    <row r="88" spans="1:11" s="4" customFormat="1" ht="60" x14ac:dyDescent="0.25">
      <c r="A88" s="179"/>
      <c r="B88" s="179"/>
      <c r="C88" s="179"/>
      <c r="D88" s="179"/>
      <c r="E88" s="179"/>
      <c r="F88" s="179"/>
      <c r="G88" s="179"/>
      <c r="H88" s="2">
        <v>2</v>
      </c>
      <c r="I88" s="2" t="s">
        <v>664</v>
      </c>
      <c r="J88" s="2" t="s">
        <v>617</v>
      </c>
      <c r="K88" s="2" t="s">
        <v>5</v>
      </c>
    </row>
    <row r="89" spans="1:11" s="4" customFormat="1" ht="75" x14ac:dyDescent="0.25">
      <c r="A89" s="175"/>
      <c r="B89" s="175"/>
      <c r="C89" s="175"/>
      <c r="D89" s="175"/>
      <c r="E89" s="175"/>
      <c r="F89" s="175"/>
      <c r="G89" s="175"/>
      <c r="H89" s="2">
        <v>3</v>
      </c>
      <c r="I89" s="2" t="s">
        <v>665</v>
      </c>
      <c r="J89" s="2" t="s">
        <v>617</v>
      </c>
      <c r="K89" s="2" t="s">
        <v>5</v>
      </c>
    </row>
    <row r="90" spans="1:11" s="4" customFormat="1" ht="45" x14ac:dyDescent="0.25">
      <c r="A90" s="174">
        <v>44</v>
      </c>
      <c r="B90" s="174" t="s">
        <v>203</v>
      </c>
      <c r="C90" s="174" t="s">
        <v>565</v>
      </c>
      <c r="D90" s="174">
        <v>1</v>
      </c>
      <c r="E90" s="174" t="s">
        <v>572</v>
      </c>
      <c r="F90" s="174" t="s">
        <v>568</v>
      </c>
      <c r="G90" s="174" t="s">
        <v>554</v>
      </c>
      <c r="H90" s="2">
        <v>1</v>
      </c>
      <c r="I90" s="2" t="s">
        <v>934</v>
      </c>
      <c r="J90" s="2" t="s">
        <v>617</v>
      </c>
      <c r="K90" s="2" t="s">
        <v>5</v>
      </c>
    </row>
    <row r="91" spans="1:11" s="4" customFormat="1" ht="60" x14ac:dyDescent="0.25">
      <c r="A91" s="179"/>
      <c r="B91" s="179"/>
      <c r="C91" s="179"/>
      <c r="D91" s="179"/>
      <c r="E91" s="179"/>
      <c r="F91" s="179"/>
      <c r="G91" s="179"/>
      <c r="H91" s="2">
        <v>2</v>
      </c>
      <c r="I91" s="2" t="s">
        <v>664</v>
      </c>
      <c r="J91" s="2" t="s">
        <v>617</v>
      </c>
      <c r="K91" s="2" t="s">
        <v>5</v>
      </c>
    </row>
    <row r="92" spans="1:11" s="4" customFormat="1" ht="75" x14ac:dyDescent="0.25">
      <c r="A92" s="175"/>
      <c r="B92" s="175"/>
      <c r="C92" s="175"/>
      <c r="D92" s="175"/>
      <c r="E92" s="175"/>
      <c r="F92" s="175"/>
      <c r="G92" s="175"/>
      <c r="H92" s="2">
        <v>3</v>
      </c>
      <c r="I92" s="2" t="s">
        <v>665</v>
      </c>
      <c r="J92" s="2" t="s">
        <v>617</v>
      </c>
      <c r="K92" s="2" t="s">
        <v>5</v>
      </c>
    </row>
    <row r="93" spans="1:11" s="4" customFormat="1" ht="45" x14ac:dyDescent="0.25">
      <c r="A93" s="174">
        <v>45</v>
      </c>
      <c r="B93" s="174" t="s">
        <v>204</v>
      </c>
      <c r="C93" s="174" t="s">
        <v>565</v>
      </c>
      <c r="D93" s="174">
        <v>1</v>
      </c>
      <c r="E93" s="174" t="s">
        <v>572</v>
      </c>
      <c r="F93" s="174" t="s">
        <v>568</v>
      </c>
      <c r="G93" s="174" t="s">
        <v>554</v>
      </c>
      <c r="H93" s="2">
        <v>1</v>
      </c>
      <c r="I93" s="2" t="s">
        <v>934</v>
      </c>
      <c r="J93" s="2" t="s">
        <v>617</v>
      </c>
      <c r="K93" s="2" t="s">
        <v>5</v>
      </c>
    </row>
    <row r="94" spans="1:11" s="4" customFormat="1" ht="60" x14ac:dyDescent="0.25">
      <c r="A94" s="179"/>
      <c r="B94" s="179"/>
      <c r="C94" s="179"/>
      <c r="D94" s="179"/>
      <c r="E94" s="179"/>
      <c r="F94" s="179"/>
      <c r="G94" s="179"/>
      <c r="H94" s="2">
        <v>2</v>
      </c>
      <c r="I94" s="2" t="s">
        <v>664</v>
      </c>
      <c r="J94" s="2" t="s">
        <v>617</v>
      </c>
      <c r="K94" s="2" t="s">
        <v>5</v>
      </c>
    </row>
    <row r="95" spans="1:11" s="4" customFormat="1" ht="75" x14ac:dyDescent="0.25">
      <c r="A95" s="175"/>
      <c r="B95" s="175"/>
      <c r="C95" s="175"/>
      <c r="D95" s="175"/>
      <c r="E95" s="175"/>
      <c r="F95" s="175"/>
      <c r="G95" s="175"/>
      <c r="H95" s="2">
        <v>3</v>
      </c>
      <c r="I95" s="2" t="s">
        <v>665</v>
      </c>
      <c r="J95" s="2" t="s">
        <v>617</v>
      </c>
      <c r="K95" s="2" t="s">
        <v>5</v>
      </c>
    </row>
    <row r="96" spans="1:11" s="4" customFormat="1" ht="45" x14ac:dyDescent="0.25">
      <c r="A96" s="174">
        <v>46</v>
      </c>
      <c r="B96" s="174" t="s">
        <v>205</v>
      </c>
      <c r="C96" s="174" t="s">
        <v>565</v>
      </c>
      <c r="D96" s="174">
        <v>1</v>
      </c>
      <c r="E96" s="174" t="s">
        <v>572</v>
      </c>
      <c r="F96" s="174" t="s">
        <v>568</v>
      </c>
      <c r="G96" s="174" t="s">
        <v>554</v>
      </c>
      <c r="H96" s="2">
        <v>1</v>
      </c>
      <c r="I96" s="2" t="s">
        <v>934</v>
      </c>
      <c r="J96" s="2" t="s">
        <v>617</v>
      </c>
      <c r="K96" s="2" t="s">
        <v>5</v>
      </c>
    </row>
    <row r="97" spans="1:11" s="4" customFormat="1" ht="60" x14ac:dyDescent="0.25">
      <c r="A97" s="179"/>
      <c r="B97" s="179"/>
      <c r="C97" s="179"/>
      <c r="D97" s="179"/>
      <c r="E97" s="179"/>
      <c r="F97" s="179"/>
      <c r="G97" s="179"/>
      <c r="H97" s="2">
        <v>2</v>
      </c>
      <c r="I97" s="2" t="s">
        <v>664</v>
      </c>
      <c r="J97" s="2" t="s">
        <v>617</v>
      </c>
      <c r="K97" s="2" t="s">
        <v>5</v>
      </c>
    </row>
    <row r="98" spans="1:11" s="4" customFormat="1" ht="75" x14ac:dyDescent="0.25">
      <c r="A98" s="175"/>
      <c r="B98" s="175"/>
      <c r="C98" s="175"/>
      <c r="D98" s="175"/>
      <c r="E98" s="175"/>
      <c r="F98" s="175"/>
      <c r="G98" s="175"/>
      <c r="H98" s="2">
        <v>3</v>
      </c>
      <c r="I98" s="2" t="s">
        <v>665</v>
      </c>
      <c r="J98" s="2" t="s">
        <v>617</v>
      </c>
      <c r="K98" s="2" t="s">
        <v>5</v>
      </c>
    </row>
    <row r="99" spans="1:11" s="4" customFormat="1" ht="45" x14ac:dyDescent="0.25">
      <c r="A99" s="174">
        <v>47</v>
      </c>
      <c r="B99" s="174" t="s">
        <v>206</v>
      </c>
      <c r="C99" s="174" t="s">
        <v>565</v>
      </c>
      <c r="D99" s="174">
        <v>1</v>
      </c>
      <c r="E99" s="174" t="s">
        <v>572</v>
      </c>
      <c r="F99" s="174" t="s">
        <v>568</v>
      </c>
      <c r="G99" s="174" t="s">
        <v>554</v>
      </c>
      <c r="H99" s="2">
        <v>1</v>
      </c>
      <c r="I99" s="2" t="s">
        <v>934</v>
      </c>
      <c r="J99" s="2" t="s">
        <v>617</v>
      </c>
      <c r="K99" s="2" t="s">
        <v>5</v>
      </c>
    </row>
    <row r="100" spans="1:11" s="4" customFormat="1" ht="60" x14ac:dyDescent="0.25">
      <c r="A100" s="179"/>
      <c r="B100" s="179"/>
      <c r="C100" s="179"/>
      <c r="D100" s="179"/>
      <c r="E100" s="179"/>
      <c r="F100" s="179"/>
      <c r="G100" s="179"/>
      <c r="H100" s="2">
        <v>2</v>
      </c>
      <c r="I100" s="2" t="s">
        <v>664</v>
      </c>
      <c r="J100" s="2" t="s">
        <v>617</v>
      </c>
      <c r="K100" s="2" t="s">
        <v>5</v>
      </c>
    </row>
    <row r="101" spans="1:11" s="4" customFormat="1" ht="75" x14ac:dyDescent="0.25">
      <c r="A101" s="175"/>
      <c r="B101" s="175"/>
      <c r="C101" s="175"/>
      <c r="D101" s="175"/>
      <c r="E101" s="175"/>
      <c r="F101" s="175"/>
      <c r="G101" s="175"/>
      <c r="H101" s="2">
        <v>3</v>
      </c>
      <c r="I101" s="2" t="s">
        <v>665</v>
      </c>
      <c r="J101" s="2" t="s">
        <v>617</v>
      </c>
      <c r="K101" s="2" t="s">
        <v>5</v>
      </c>
    </row>
    <row r="102" spans="1:11" s="4" customFormat="1" ht="45" x14ac:dyDescent="0.25">
      <c r="A102" s="174">
        <v>48</v>
      </c>
      <c r="B102" s="174" t="s">
        <v>207</v>
      </c>
      <c r="C102" s="174" t="s">
        <v>565</v>
      </c>
      <c r="D102" s="174">
        <v>1</v>
      </c>
      <c r="E102" s="174" t="s">
        <v>572</v>
      </c>
      <c r="F102" s="174" t="s">
        <v>568</v>
      </c>
      <c r="G102" s="174" t="s">
        <v>554</v>
      </c>
      <c r="H102" s="2">
        <v>1</v>
      </c>
      <c r="I102" s="2" t="s">
        <v>934</v>
      </c>
      <c r="J102" s="2" t="s">
        <v>617</v>
      </c>
      <c r="K102" s="2" t="s">
        <v>5</v>
      </c>
    </row>
    <row r="103" spans="1:11" s="4" customFormat="1" ht="60" x14ac:dyDescent="0.25">
      <c r="A103" s="179"/>
      <c r="B103" s="179"/>
      <c r="C103" s="179"/>
      <c r="D103" s="179"/>
      <c r="E103" s="179"/>
      <c r="F103" s="179"/>
      <c r="G103" s="179"/>
      <c r="H103" s="2">
        <v>2</v>
      </c>
      <c r="I103" s="2" t="s">
        <v>664</v>
      </c>
      <c r="J103" s="2" t="s">
        <v>617</v>
      </c>
      <c r="K103" s="2" t="s">
        <v>5</v>
      </c>
    </row>
    <row r="104" spans="1:11" s="4" customFormat="1" ht="75" x14ac:dyDescent="0.25">
      <c r="A104" s="175"/>
      <c r="B104" s="175"/>
      <c r="C104" s="175"/>
      <c r="D104" s="175"/>
      <c r="E104" s="175"/>
      <c r="F104" s="175"/>
      <c r="G104" s="175"/>
      <c r="H104" s="2">
        <v>3</v>
      </c>
      <c r="I104" s="2" t="s">
        <v>665</v>
      </c>
      <c r="J104" s="2" t="s">
        <v>617</v>
      </c>
      <c r="K104" s="2" t="s">
        <v>5</v>
      </c>
    </row>
    <row r="105" spans="1:11" s="4" customFormat="1" ht="45" x14ac:dyDescent="0.25">
      <c r="A105" s="174">
        <v>49</v>
      </c>
      <c r="B105" s="174" t="s">
        <v>208</v>
      </c>
      <c r="C105" s="174" t="s">
        <v>565</v>
      </c>
      <c r="D105" s="174">
        <v>1</v>
      </c>
      <c r="E105" s="174" t="s">
        <v>572</v>
      </c>
      <c r="F105" s="174" t="s">
        <v>568</v>
      </c>
      <c r="G105" s="174" t="s">
        <v>554</v>
      </c>
      <c r="H105" s="2">
        <v>1</v>
      </c>
      <c r="I105" s="2" t="s">
        <v>934</v>
      </c>
      <c r="J105" s="2" t="s">
        <v>617</v>
      </c>
      <c r="K105" s="2" t="s">
        <v>5</v>
      </c>
    </row>
    <row r="106" spans="1:11" s="4" customFormat="1" ht="60" x14ac:dyDescent="0.25">
      <c r="A106" s="179"/>
      <c r="B106" s="179"/>
      <c r="C106" s="179"/>
      <c r="D106" s="179"/>
      <c r="E106" s="179"/>
      <c r="F106" s="179"/>
      <c r="G106" s="179"/>
      <c r="H106" s="2">
        <v>2</v>
      </c>
      <c r="I106" s="2" t="s">
        <v>664</v>
      </c>
      <c r="J106" s="2" t="s">
        <v>617</v>
      </c>
      <c r="K106" s="2" t="s">
        <v>5</v>
      </c>
    </row>
    <row r="107" spans="1:11" s="4" customFormat="1" ht="75" x14ac:dyDescent="0.25">
      <c r="A107" s="175"/>
      <c r="B107" s="175"/>
      <c r="C107" s="175"/>
      <c r="D107" s="175"/>
      <c r="E107" s="175"/>
      <c r="F107" s="175"/>
      <c r="G107" s="175"/>
      <c r="H107" s="2">
        <v>3</v>
      </c>
      <c r="I107" s="2" t="s">
        <v>665</v>
      </c>
      <c r="J107" s="2" t="s">
        <v>617</v>
      </c>
      <c r="K107" s="2" t="s">
        <v>5</v>
      </c>
    </row>
    <row r="108" spans="1:11" s="4" customFormat="1" ht="45" x14ac:dyDescent="0.25">
      <c r="A108" s="174">
        <v>50</v>
      </c>
      <c r="B108" s="174" t="s">
        <v>209</v>
      </c>
      <c r="C108" s="174" t="s">
        <v>565</v>
      </c>
      <c r="D108" s="174">
        <v>1</v>
      </c>
      <c r="E108" s="174" t="s">
        <v>572</v>
      </c>
      <c r="F108" s="174" t="s">
        <v>568</v>
      </c>
      <c r="G108" s="174" t="s">
        <v>554</v>
      </c>
      <c r="H108" s="2">
        <v>1</v>
      </c>
      <c r="I108" s="2" t="s">
        <v>934</v>
      </c>
      <c r="J108" s="2" t="s">
        <v>617</v>
      </c>
      <c r="K108" s="2" t="s">
        <v>5</v>
      </c>
    </row>
    <row r="109" spans="1:11" s="4" customFormat="1" ht="60" x14ac:dyDescent="0.25">
      <c r="A109" s="179"/>
      <c r="B109" s="179"/>
      <c r="C109" s="179"/>
      <c r="D109" s="179"/>
      <c r="E109" s="179"/>
      <c r="F109" s="179"/>
      <c r="G109" s="179"/>
      <c r="H109" s="2">
        <v>2</v>
      </c>
      <c r="I109" s="2" t="s">
        <v>664</v>
      </c>
      <c r="J109" s="2" t="s">
        <v>617</v>
      </c>
      <c r="K109" s="2" t="s">
        <v>5</v>
      </c>
    </row>
    <row r="110" spans="1:11" s="4" customFormat="1" ht="75" x14ac:dyDescent="0.25">
      <c r="A110" s="175"/>
      <c r="B110" s="175"/>
      <c r="C110" s="175"/>
      <c r="D110" s="175"/>
      <c r="E110" s="175"/>
      <c r="F110" s="175"/>
      <c r="G110" s="175"/>
      <c r="H110" s="2">
        <v>3</v>
      </c>
      <c r="I110" s="2" t="s">
        <v>665</v>
      </c>
      <c r="J110" s="2" t="s">
        <v>617</v>
      </c>
      <c r="K110" s="2" t="s">
        <v>5</v>
      </c>
    </row>
    <row r="111" spans="1:11" s="4" customFormat="1" ht="45" x14ac:dyDescent="0.25">
      <c r="A111" s="174">
        <v>51</v>
      </c>
      <c r="B111" s="174" t="s">
        <v>210</v>
      </c>
      <c r="C111" s="174" t="s">
        <v>565</v>
      </c>
      <c r="D111" s="174">
        <v>1</v>
      </c>
      <c r="E111" s="174" t="s">
        <v>572</v>
      </c>
      <c r="F111" s="174" t="s">
        <v>568</v>
      </c>
      <c r="G111" s="174" t="s">
        <v>554</v>
      </c>
      <c r="H111" s="2">
        <v>1</v>
      </c>
      <c r="I111" s="2" t="s">
        <v>934</v>
      </c>
      <c r="J111" s="2" t="s">
        <v>617</v>
      </c>
      <c r="K111" s="2" t="s">
        <v>5</v>
      </c>
    </row>
    <row r="112" spans="1:11" s="4" customFormat="1" ht="60" x14ac:dyDescent="0.25">
      <c r="A112" s="179"/>
      <c r="B112" s="179"/>
      <c r="C112" s="179"/>
      <c r="D112" s="179"/>
      <c r="E112" s="179"/>
      <c r="F112" s="179"/>
      <c r="G112" s="179"/>
      <c r="H112" s="2">
        <v>2</v>
      </c>
      <c r="I112" s="2" t="s">
        <v>664</v>
      </c>
      <c r="J112" s="2" t="s">
        <v>617</v>
      </c>
      <c r="K112" s="2" t="s">
        <v>5</v>
      </c>
    </row>
    <row r="113" spans="1:11" s="4" customFormat="1" ht="75" x14ac:dyDescent="0.25">
      <c r="A113" s="175"/>
      <c r="B113" s="175"/>
      <c r="C113" s="175"/>
      <c r="D113" s="175"/>
      <c r="E113" s="175"/>
      <c r="F113" s="175"/>
      <c r="G113" s="175"/>
      <c r="H113" s="2">
        <v>3</v>
      </c>
      <c r="I113" s="2" t="s">
        <v>665</v>
      </c>
      <c r="J113" s="2" t="s">
        <v>617</v>
      </c>
      <c r="K113" s="2" t="s">
        <v>5</v>
      </c>
    </row>
    <row r="114" spans="1:11" s="4" customFormat="1" ht="45" x14ac:dyDescent="0.25">
      <c r="A114" s="174">
        <v>52</v>
      </c>
      <c r="B114" s="174" t="s">
        <v>211</v>
      </c>
      <c r="C114" s="174" t="s">
        <v>565</v>
      </c>
      <c r="D114" s="174">
        <v>1</v>
      </c>
      <c r="E114" s="174" t="s">
        <v>572</v>
      </c>
      <c r="F114" s="174" t="s">
        <v>568</v>
      </c>
      <c r="G114" s="174" t="s">
        <v>554</v>
      </c>
      <c r="H114" s="2">
        <v>1</v>
      </c>
      <c r="I114" s="2" t="s">
        <v>934</v>
      </c>
      <c r="J114" s="2" t="s">
        <v>617</v>
      </c>
      <c r="K114" s="2" t="s">
        <v>5</v>
      </c>
    </row>
    <row r="115" spans="1:11" s="4" customFormat="1" ht="60" x14ac:dyDescent="0.25">
      <c r="A115" s="179"/>
      <c r="B115" s="179"/>
      <c r="C115" s="179"/>
      <c r="D115" s="179"/>
      <c r="E115" s="179"/>
      <c r="F115" s="179"/>
      <c r="G115" s="179"/>
      <c r="H115" s="2">
        <v>2</v>
      </c>
      <c r="I115" s="2" t="s">
        <v>664</v>
      </c>
      <c r="J115" s="2" t="s">
        <v>617</v>
      </c>
      <c r="K115" s="2" t="s">
        <v>5</v>
      </c>
    </row>
    <row r="116" spans="1:11" s="4" customFormat="1" ht="75" x14ac:dyDescent="0.25">
      <c r="A116" s="175"/>
      <c r="B116" s="175"/>
      <c r="C116" s="175"/>
      <c r="D116" s="175"/>
      <c r="E116" s="175"/>
      <c r="F116" s="175"/>
      <c r="G116" s="175"/>
      <c r="H116" s="2">
        <v>3</v>
      </c>
      <c r="I116" s="2" t="s">
        <v>665</v>
      </c>
      <c r="J116" s="2" t="s">
        <v>617</v>
      </c>
      <c r="K116" s="2" t="s">
        <v>5</v>
      </c>
    </row>
    <row r="117" spans="1:11" s="4" customFormat="1" ht="45" x14ac:dyDescent="0.25">
      <c r="A117" s="174">
        <v>53</v>
      </c>
      <c r="B117" s="174" t="s">
        <v>212</v>
      </c>
      <c r="C117" s="174" t="s">
        <v>565</v>
      </c>
      <c r="D117" s="174">
        <v>1</v>
      </c>
      <c r="E117" s="174" t="s">
        <v>572</v>
      </c>
      <c r="F117" s="174" t="s">
        <v>568</v>
      </c>
      <c r="G117" s="174" t="s">
        <v>554</v>
      </c>
      <c r="H117" s="2">
        <v>1</v>
      </c>
      <c r="I117" s="2" t="s">
        <v>934</v>
      </c>
      <c r="J117" s="2" t="s">
        <v>617</v>
      </c>
      <c r="K117" s="2" t="s">
        <v>5</v>
      </c>
    </row>
    <row r="118" spans="1:11" s="4" customFormat="1" ht="60" x14ac:dyDescent="0.25">
      <c r="A118" s="179"/>
      <c r="B118" s="179"/>
      <c r="C118" s="179"/>
      <c r="D118" s="179"/>
      <c r="E118" s="179"/>
      <c r="F118" s="179"/>
      <c r="G118" s="179"/>
      <c r="H118" s="2">
        <v>2</v>
      </c>
      <c r="I118" s="2" t="s">
        <v>664</v>
      </c>
      <c r="J118" s="2" t="s">
        <v>617</v>
      </c>
      <c r="K118" s="2" t="s">
        <v>5</v>
      </c>
    </row>
    <row r="119" spans="1:11" s="4" customFormat="1" ht="75" x14ac:dyDescent="0.25">
      <c r="A119" s="175"/>
      <c r="B119" s="175"/>
      <c r="C119" s="175"/>
      <c r="D119" s="175"/>
      <c r="E119" s="175"/>
      <c r="F119" s="175"/>
      <c r="G119" s="175"/>
      <c r="H119" s="2">
        <v>3</v>
      </c>
      <c r="I119" s="2" t="s">
        <v>665</v>
      </c>
      <c r="J119" s="2" t="s">
        <v>617</v>
      </c>
      <c r="K119" s="2" t="s">
        <v>5</v>
      </c>
    </row>
    <row r="120" spans="1:11" s="4" customFormat="1" ht="45" x14ac:dyDescent="0.25">
      <c r="A120" s="174">
        <v>54</v>
      </c>
      <c r="B120" s="174" t="s">
        <v>321</v>
      </c>
      <c r="C120" s="174" t="s">
        <v>565</v>
      </c>
      <c r="D120" s="174">
        <v>1</v>
      </c>
      <c r="E120" s="174" t="s">
        <v>572</v>
      </c>
      <c r="F120" s="174" t="s">
        <v>568</v>
      </c>
      <c r="G120" s="174" t="s">
        <v>554</v>
      </c>
      <c r="H120" s="2">
        <v>1</v>
      </c>
      <c r="I120" s="2" t="s">
        <v>934</v>
      </c>
      <c r="J120" s="2" t="s">
        <v>617</v>
      </c>
      <c r="K120" s="2" t="s">
        <v>5</v>
      </c>
    </row>
    <row r="121" spans="1:11" s="4" customFormat="1" ht="60" x14ac:dyDescent="0.25">
      <c r="A121" s="179"/>
      <c r="B121" s="179"/>
      <c r="C121" s="179"/>
      <c r="D121" s="179"/>
      <c r="E121" s="179"/>
      <c r="F121" s="179"/>
      <c r="G121" s="179"/>
      <c r="H121" s="2">
        <v>2</v>
      </c>
      <c r="I121" s="2" t="s">
        <v>664</v>
      </c>
      <c r="J121" s="2" t="s">
        <v>617</v>
      </c>
      <c r="K121" s="2" t="s">
        <v>5</v>
      </c>
    </row>
    <row r="122" spans="1:11" s="4" customFormat="1" ht="75" x14ac:dyDescent="0.25">
      <c r="A122" s="175"/>
      <c r="B122" s="175"/>
      <c r="C122" s="175"/>
      <c r="D122" s="175"/>
      <c r="E122" s="175"/>
      <c r="F122" s="175"/>
      <c r="G122" s="175"/>
      <c r="H122" s="2">
        <v>3</v>
      </c>
      <c r="I122" s="2" t="s">
        <v>665</v>
      </c>
      <c r="J122" s="2" t="s">
        <v>617</v>
      </c>
      <c r="K122" s="2" t="s">
        <v>5</v>
      </c>
    </row>
    <row r="123" spans="1:11" s="4" customFormat="1" ht="45" x14ac:dyDescent="0.25">
      <c r="A123" s="174">
        <v>55</v>
      </c>
      <c r="B123" s="174" t="s">
        <v>213</v>
      </c>
      <c r="C123" s="174" t="s">
        <v>565</v>
      </c>
      <c r="D123" s="174">
        <v>1</v>
      </c>
      <c r="E123" s="174" t="s">
        <v>572</v>
      </c>
      <c r="F123" s="174" t="s">
        <v>568</v>
      </c>
      <c r="G123" s="174" t="s">
        <v>554</v>
      </c>
      <c r="H123" s="2">
        <v>1</v>
      </c>
      <c r="I123" s="2" t="s">
        <v>934</v>
      </c>
      <c r="J123" s="2" t="s">
        <v>617</v>
      </c>
      <c r="K123" s="2" t="s">
        <v>5</v>
      </c>
    </row>
    <row r="124" spans="1:11" s="4" customFormat="1" ht="60" x14ac:dyDescent="0.25">
      <c r="A124" s="179"/>
      <c r="B124" s="179"/>
      <c r="C124" s="179"/>
      <c r="D124" s="179"/>
      <c r="E124" s="179"/>
      <c r="F124" s="179"/>
      <c r="G124" s="179"/>
      <c r="H124" s="2">
        <v>2</v>
      </c>
      <c r="I124" s="2" t="s">
        <v>664</v>
      </c>
      <c r="J124" s="2" t="s">
        <v>617</v>
      </c>
      <c r="K124" s="2" t="s">
        <v>5</v>
      </c>
    </row>
    <row r="125" spans="1:11" s="4" customFormat="1" ht="75" x14ac:dyDescent="0.25">
      <c r="A125" s="175"/>
      <c r="B125" s="175"/>
      <c r="C125" s="175"/>
      <c r="D125" s="175"/>
      <c r="E125" s="175"/>
      <c r="F125" s="175"/>
      <c r="G125" s="175"/>
      <c r="H125" s="2">
        <v>3</v>
      </c>
      <c r="I125" s="2" t="s">
        <v>665</v>
      </c>
      <c r="J125" s="2" t="s">
        <v>617</v>
      </c>
      <c r="K125" s="2" t="s">
        <v>5</v>
      </c>
    </row>
    <row r="126" spans="1:11" s="4" customFormat="1" ht="45" x14ac:dyDescent="0.25">
      <c r="A126" s="174">
        <v>56</v>
      </c>
      <c r="B126" s="174" t="s">
        <v>322</v>
      </c>
      <c r="C126" s="174" t="s">
        <v>565</v>
      </c>
      <c r="D126" s="174">
        <v>1</v>
      </c>
      <c r="E126" s="174" t="s">
        <v>572</v>
      </c>
      <c r="F126" s="174" t="s">
        <v>568</v>
      </c>
      <c r="G126" s="174" t="s">
        <v>554</v>
      </c>
      <c r="H126" s="2">
        <v>1</v>
      </c>
      <c r="I126" s="2" t="s">
        <v>934</v>
      </c>
      <c r="J126" s="2" t="s">
        <v>617</v>
      </c>
      <c r="K126" s="2" t="s">
        <v>5</v>
      </c>
    </row>
    <row r="127" spans="1:11" s="4" customFormat="1" ht="60" x14ac:dyDescent="0.25">
      <c r="A127" s="179"/>
      <c r="B127" s="179"/>
      <c r="C127" s="179"/>
      <c r="D127" s="179"/>
      <c r="E127" s="179"/>
      <c r="F127" s="179"/>
      <c r="G127" s="179"/>
      <c r="H127" s="2">
        <v>2</v>
      </c>
      <c r="I127" s="2" t="s">
        <v>664</v>
      </c>
      <c r="J127" s="2" t="s">
        <v>617</v>
      </c>
      <c r="K127" s="2" t="s">
        <v>5</v>
      </c>
    </row>
    <row r="128" spans="1:11" s="4" customFormat="1" ht="75" x14ac:dyDescent="0.25">
      <c r="A128" s="175"/>
      <c r="B128" s="175"/>
      <c r="C128" s="175"/>
      <c r="D128" s="175"/>
      <c r="E128" s="175"/>
      <c r="F128" s="175"/>
      <c r="G128" s="175"/>
      <c r="H128" s="2">
        <v>3</v>
      </c>
      <c r="I128" s="2" t="s">
        <v>665</v>
      </c>
      <c r="J128" s="2" t="s">
        <v>617</v>
      </c>
      <c r="K128" s="2" t="s">
        <v>5</v>
      </c>
    </row>
    <row r="129" spans="1:11" s="4" customFormat="1" ht="45" x14ac:dyDescent="0.25">
      <c r="A129" s="174">
        <v>57</v>
      </c>
      <c r="B129" s="174" t="s">
        <v>214</v>
      </c>
      <c r="C129" s="174" t="s">
        <v>565</v>
      </c>
      <c r="D129" s="174">
        <v>1</v>
      </c>
      <c r="E129" s="174" t="s">
        <v>572</v>
      </c>
      <c r="F129" s="174" t="s">
        <v>568</v>
      </c>
      <c r="G129" s="174" t="s">
        <v>554</v>
      </c>
      <c r="H129" s="2">
        <v>1</v>
      </c>
      <c r="I129" s="2" t="s">
        <v>934</v>
      </c>
      <c r="J129" s="2" t="s">
        <v>617</v>
      </c>
      <c r="K129" s="2" t="s">
        <v>5</v>
      </c>
    </row>
    <row r="130" spans="1:11" s="4" customFormat="1" ht="60" x14ac:dyDescent="0.25">
      <c r="A130" s="179"/>
      <c r="B130" s="179"/>
      <c r="C130" s="179"/>
      <c r="D130" s="179"/>
      <c r="E130" s="179"/>
      <c r="F130" s="179"/>
      <c r="G130" s="179"/>
      <c r="H130" s="2">
        <v>2</v>
      </c>
      <c r="I130" s="2" t="s">
        <v>664</v>
      </c>
      <c r="J130" s="2" t="s">
        <v>617</v>
      </c>
      <c r="K130" s="2" t="s">
        <v>5</v>
      </c>
    </row>
    <row r="131" spans="1:11" s="4" customFormat="1" ht="75" x14ac:dyDescent="0.25">
      <c r="A131" s="175"/>
      <c r="B131" s="175"/>
      <c r="C131" s="175"/>
      <c r="D131" s="175"/>
      <c r="E131" s="175"/>
      <c r="F131" s="175"/>
      <c r="G131" s="175"/>
      <c r="H131" s="2">
        <v>3</v>
      </c>
      <c r="I131" s="2" t="s">
        <v>665</v>
      </c>
      <c r="J131" s="2" t="s">
        <v>617</v>
      </c>
      <c r="K131" s="2" t="s">
        <v>5</v>
      </c>
    </row>
    <row r="132" spans="1:11" s="4" customFormat="1" ht="45" x14ac:dyDescent="0.25">
      <c r="A132" s="174">
        <v>58</v>
      </c>
      <c r="B132" s="174" t="s">
        <v>215</v>
      </c>
      <c r="C132" s="174" t="s">
        <v>565</v>
      </c>
      <c r="D132" s="174">
        <v>1</v>
      </c>
      <c r="E132" s="174" t="s">
        <v>572</v>
      </c>
      <c r="F132" s="174" t="s">
        <v>568</v>
      </c>
      <c r="G132" s="174" t="s">
        <v>554</v>
      </c>
      <c r="H132" s="2">
        <v>1</v>
      </c>
      <c r="I132" s="2" t="s">
        <v>934</v>
      </c>
      <c r="J132" s="2" t="s">
        <v>617</v>
      </c>
      <c r="K132" s="2" t="s">
        <v>5</v>
      </c>
    </row>
    <row r="133" spans="1:11" s="4" customFormat="1" ht="60" x14ac:dyDescent="0.25">
      <c r="A133" s="179"/>
      <c r="B133" s="179"/>
      <c r="C133" s="179"/>
      <c r="D133" s="179"/>
      <c r="E133" s="179"/>
      <c r="F133" s="179"/>
      <c r="G133" s="179"/>
      <c r="H133" s="2">
        <v>2</v>
      </c>
      <c r="I133" s="2" t="s">
        <v>664</v>
      </c>
      <c r="J133" s="2" t="s">
        <v>617</v>
      </c>
      <c r="K133" s="2" t="s">
        <v>5</v>
      </c>
    </row>
    <row r="134" spans="1:11" s="4" customFormat="1" ht="75" x14ac:dyDescent="0.25">
      <c r="A134" s="175"/>
      <c r="B134" s="175"/>
      <c r="C134" s="175"/>
      <c r="D134" s="175"/>
      <c r="E134" s="175"/>
      <c r="F134" s="175"/>
      <c r="G134" s="175"/>
      <c r="H134" s="2">
        <v>3</v>
      </c>
      <c r="I134" s="2" t="s">
        <v>665</v>
      </c>
      <c r="J134" s="2" t="s">
        <v>617</v>
      </c>
      <c r="K134" s="2" t="s">
        <v>5</v>
      </c>
    </row>
    <row r="135" spans="1:11" s="4" customFormat="1" ht="45" x14ac:dyDescent="0.25">
      <c r="A135" s="174">
        <v>59</v>
      </c>
      <c r="B135" s="174" t="s">
        <v>216</v>
      </c>
      <c r="C135" s="174" t="s">
        <v>565</v>
      </c>
      <c r="D135" s="174">
        <v>1</v>
      </c>
      <c r="E135" s="174" t="s">
        <v>572</v>
      </c>
      <c r="F135" s="174" t="s">
        <v>568</v>
      </c>
      <c r="G135" s="174" t="s">
        <v>554</v>
      </c>
      <c r="H135" s="2">
        <v>1</v>
      </c>
      <c r="I135" s="2" t="s">
        <v>934</v>
      </c>
      <c r="J135" s="2" t="s">
        <v>617</v>
      </c>
      <c r="K135" s="2" t="s">
        <v>5</v>
      </c>
    </row>
    <row r="136" spans="1:11" s="4" customFormat="1" ht="60" x14ac:dyDescent="0.25">
      <c r="A136" s="179"/>
      <c r="B136" s="179"/>
      <c r="C136" s="179"/>
      <c r="D136" s="179"/>
      <c r="E136" s="179"/>
      <c r="F136" s="179"/>
      <c r="G136" s="179"/>
      <c r="H136" s="2">
        <v>2</v>
      </c>
      <c r="I136" s="2" t="s">
        <v>664</v>
      </c>
      <c r="J136" s="2" t="s">
        <v>617</v>
      </c>
      <c r="K136" s="2" t="s">
        <v>5</v>
      </c>
    </row>
    <row r="137" spans="1:11" s="4" customFormat="1" ht="75" x14ac:dyDescent="0.25">
      <c r="A137" s="175"/>
      <c r="B137" s="175"/>
      <c r="C137" s="175"/>
      <c r="D137" s="175"/>
      <c r="E137" s="175"/>
      <c r="F137" s="175"/>
      <c r="G137" s="175"/>
      <c r="H137" s="2">
        <v>3</v>
      </c>
      <c r="I137" s="2" t="s">
        <v>665</v>
      </c>
      <c r="J137" s="2" t="s">
        <v>617</v>
      </c>
      <c r="K137" s="2" t="s">
        <v>5</v>
      </c>
    </row>
    <row r="138" spans="1:11" s="4" customFormat="1" ht="45" x14ac:dyDescent="0.25">
      <c r="A138" s="174">
        <v>60</v>
      </c>
      <c r="B138" s="174" t="s">
        <v>217</v>
      </c>
      <c r="C138" s="174" t="s">
        <v>565</v>
      </c>
      <c r="D138" s="174">
        <v>1</v>
      </c>
      <c r="E138" s="174" t="s">
        <v>572</v>
      </c>
      <c r="F138" s="174" t="s">
        <v>568</v>
      </c>
      <c r="G138" s="174" t="s">
        <v>554</v>
      </c>
      <c r="H138" s="2">
        <v>1</v>
      </c>
      <c r="I138" s="2" t="s">
        <v>934</v>
      </c>
      <c r="J138" s="2" t="s">
        <v>617</v>
      </c>
      <c r="K138" s="2" t="s">
        <v>5</v>
      </c>
    </row>
    <row r="139" spans="1:11" s="4" customFormat="1" ht="60" x14ac:dyDescent="0.25">
      <c r="A139" s="179"/>
      <c r="B139" s="179"/>
      <c r="C139" s="179"/>
      <c r="D139" s="179"/>
      <c r="E139" s="179"/>
      <c r="F139" s="179"/>
      <c r="G139" s="179"/>
      <c r="H139" s="2">
        <v>2</v>
      </c>
      <c r="I139" s="2" t="s">
        <v>664</v>
      </c>
      <c r="J139" s="2" t="s">
        <v>617</v>
      </c>
      <c r="K139" s="2" t="s">
        <v>5</v>
      </c>
    </row>
    <row r="140" spans="1:11" s="4" customFormat="1" ht="75" x14ac:dyDescent="0.25">
      <c r="A140" s="175"/>
      <c r="B140" s="175"/>
      <c r="C140" s="175"/>
      <c r="D140" s="175"/>
      <c r="E140" s="175"/>
      <c r="F140" s="175"/>
      <c r="G140" s="175"/>
      <c r="H140" s="2">
        <v>3</v>
      </c>
      <c r="I140" s="2" t="s">
        <v>665</v>
      </c>
      <c r="J140" s="2" t="s">
        <v>617</v>
      </c>
      <c r="K140" s="2" t="s">
        <v>5</v>
      </c>
    </row>
    <row r="141" spans="1:11" s="4" customFormat="1" ht="45" x14ac:dyDescent="0.25">
      <c r="A141" s="174">
        <v>61</v>
      </c>
      <c r="B141" s="174" t="s">
        <v>218</v>
      </c>
      <c r="C141" s="174" t="s">
        <v>565</v>
      </c>
      <c r="D141" s="174">
        <v>1</v>
      </c>
      <c r="E141" s="174" t="s">
        <v>572</v>
      </c>
      <c r="F141" s="174" t="s">
        <v>568</v>
      </c>
      <c r="G141" s="174" t="s">
        <v>554</v>
      </c>
      <c r="H141" s="2">
        <v>1</v>
      </c>
      <c r="I141" s="2" t="s">
        <v>934</v>
      </c>
      <c r="J141" s="2" t="s">
        <v>617</v>
      </c>
      <c r="K141" s="2" t="s">
        <v>5</v>
      </c>
    </row>
    <row r="142" spans="1:11" s="4" customFormat="1" ht="60" x14ac:dyDescent="0.25">
      <c r="A142" s="179"/>
      <c r="B142" s="179"/>
      <c r="C142" s="179"/>
      <c r="D142" s="179"/>
      <c r="E142" s="179"/>
      <c r="F142" s="179"/>
      <c r="G142" s="179"/>
      <c r="H142" s="2">
        <v>2</v>
      </c>
      <c r="I142" s="2" t="s">
        <v>664</v>
      </c>
      <c r="J142" s="2" t="s">
        <v>617</v>
      </c>
      <c r="K142" s="2" t="s">
        <v>5</v>
      </c>
    </row>
    <row r="143" spans="1:11" s="4" customFormat="1" ht="75" x14ac:dyDescent="0.25">
      <c r="A143" s="175"/>
      <c r="B143" s="175"/>
      <c r="C143" s="175"/>
      <c r="D143" s="175"/>
      <c r="E143" s="175"/>
      <c r="F143" s="175"/>
      <c r="G143" s="175"/>
      <c r="H143" s="2">
        <v>3</v>
      </c>
      <c r="I143" s="2" t="s">
        <v>665</v>
      </c>
      <c r="J143" s="2" t="s">
        <v>617</v>
      </c>
      <c r="K143" s="2" t="s">
        <v>5</v>
      </c>
    </row>
    <row r="144" spans="1:11" s="4" customFormat="1" ht="45" x14ac:dyDescent="0.25">
      <c r="A144" s="174">
        <v>62</v>
      </c>
      <c r="B144" s="174" t="s">
        <v>219</v>
      </c>
      <c r="C144" s="174" t="s">
        <v>565</v>
      </c>
      <c r="D144" s="174">
        <v>1</v>
      </c>
      <c r="E144" s="174" t="s">
        <v>572</v>
      </c>
      <c r="F144" s="174" t="s">
        <v>568</v>
      </c>
      <c r="G144" s="174" t="s">
        <v>554</v>
      </c>
      <c r="H144" s="2">
        <v>1</v>
      </c>
      <c r="I144" s="2" t="s">
        <v>934</v>
      </c>
      <c r="J144" s="2" t="s">
        <v>617</v>
      </c>
      <c r="K144" s="2" t="s">
        <v>5</v>
      </c>
    </row>
    <row r="145" spans="1:11" s="4" customFormat="1" ht="60" x14ac:dyDescent="0.25">
      <c r="A145" s="179"/>
      <c r="B145" s="179"/>
      <c r="C145" s="179"/>
      <c r="D145" s="179"/>
      <c r="E145" s="179"/>
      <c r="F145" s="179"/>
      <c r="G145" s="179"/>
      <c r="H145" s="2">
        <v>2</v>
      </c>
      <c r="I145" s="2" t="s">
        <v>664</v>
      </c>
      <c r="J145" s="2" t="s">
        <v>617</v>
      </c>
      <c r="K145" s="2" t="s">
        <v>5</v>
      </c>
    </row>
    <row r="146" spans="1:11" s="4" customFormat="1" ht="75" x14ac:dyDescent="0.25">
      <c r="A146" s="175"/>
      <c r="B146" s="175"/>
      <c r="C146" s="175"/>
      <c r="D146" s="175"/>
      <c r="E146" s="175"/>
      <c r="F146" s="175"/>
      <c r="G146" s="175"/>
      <c r="H146" s="2">
        <v>3</v>
      </c>
      <c r="I146" s="2" t="s">
        <v>665</v>
      </c>
      <c r="J146" s="2" t="s">
        <v>617</v>
      </c>
      <c r="K146" s="2" t="s">
        <v>5</v>
      </c>
    </row>
    <row r="147" spans="1:11" s="4" customFormat="1" ht="45" x14ac:dyDescent="0.25">
      <c r="A147" s="174">
        <v>63</v>
      </c>
      <c r="B147" s="174" t="s">
        <v>323</v>
      </c>
      <c r="C147" s="174" t="s">
        <v>565</v>
      </c>
      <c r="D147" s="174">
        <v>1</v>
      </c>
      <c r="E147" s="174" t="s">
        <v>572</v>
      </c>
      <c r="F147" s="174" t="s">
        <v>568</v>
      </c>
      <c r="G147" s="174" t="s">
        <v>554</v>
      </c>
      <c r="H147" s="2">
        <v>1</v>
      </c>
      <c r="I147" s="2" t="s">
        <v>934</v>
      </c>
      <c r="J147" s="2" t="s">
        <v>617</v>
      </c>
      <c r="K147" s="2" t="s">
        <v>5</v>
      </c>
    </row>
    <row r="148" spans="1:11" s="4" customFormat="1" ht="60" x14ac:dyDescent="0.25">
      <c r="A148" s="179"/>
      <c r="B148" s="179"/>
      <c r="C148" s="179"/>
      <c r="D148" s="179"/>
      <c r="E148" s="179"/>
      <c r="F148" s="179"/>
      <c r="G148" s="179"/>
      <c r="H148" s="2">
        <v>2</v>
      </c>
      <c r="I148" s="2" t="s">
        <v>664</v>
      </c>
      <c r="J148" s="2" t="s">
        <v>617</v>
      </c>
      <c r="K148" s="2" t="s">
        <v>5</v>
      </c>
    </row>
    <row r="149" spans="1:11" s="4" customFormat="1" ht="75" x14ac:dyDescent="0.25">
      <c r="A149" s="175"/>
      <c r="B149" s="175"/>
      <c r="C149" s="175"/>
      <c r="D149" s="175"/>
      <c r="E149" s="175"/>
      <c r="F149" s="175"/>
      <c r="G149" s="175"/>
      <c r="H149" s="2">
        <v>3</v>
      </c>
      <c r="I149" s="2" t="s">
        <v>665</v>
      </c>
      <c r="J149" s="2" t="s">
        <v>617</v>
      </c>
      <c r="K149" s="2" t="s">
        <v>5</v>
      </c>
    </row>
    <row r="150" spans="1:11" s="4" customFormat="1" ht="45" x14ac:dyDescent="0.25">
      <c r="A150" s="174">
        <v>64</v>
      </c>
      <c r="B150" s="174" t="s">
        <v>339</v>
      </c>
      <c r="C150" s="174" t="s">
        <v>565</v>
      </c>
      <c r="D150" s="174">
        <v>1</v>
      </c>
      <c r="E150" s="174" t="s">
        <v>572</v>
      </c>
      <c r="F150" s="174" t="s">
        <v>568</v>
      </c>
      <c r="G150" s="174" t="s">
        <v>554</v>
      </c>
      <c r="H150" s="2">
        <v>1</v>
      </c>
      <c r="I150" s="2" t="s">
        <v>934</v>
      </c>
      <c r="J150" s="2" t="s">
        <v>617</v>
      </c>
      <c r="K150" s="2" t="s">
        <v>5</v>
      </c>
    </row>
    <row r="151" spans="1:11" s="4" customFormat="1" ht="60" x14ac:dyDescent="0.25">
      <c r="A151" s="179"/>
      <c r="B151" s="179"/>
      <c r="C151" s="179"/>
      <c r="D151" s="179"/>
      <c r="E151" s="179"/>
      <c r="F151" s="179"/>
      <c r="G151" s="179"/>
      <c r="H151" s="2">
        <v>2</v>
      </c>
      <c r="I151" s="2" t="s">
        <v>664</v>
      </c>
      <c r="J151" s="2" t="s">
        <v>617</v>
      </c>
      <c r="K151" s="2" t="s">
        <v>5</v>
      </c>
    </row>
    <row r="152" spans="1:11" s="4" customFormat="1" ht="75" x14ac:dyDescent="0.25">
      <c r="A152" s="175"/>
      <c r="B152" s="175"/>
      <c r="C152" s="175"/>
      <c r="D152" s="175"/>
      <c r="E152" s="175"/>
      <c r="F152" s="175"/>
      <c r="G152" s="175"/>
      <c r="H152" s="2">
        <v>3</v>
      </c>
      <c r="I152" s="2" t="s">
        <v>665</v>
      </c>
      <c r="J152" s="2" t="s">
        <v>617</v>
      </c>
      <c r="K152" s="2" t="s">
        <v>5</v>
      </c>
    </row>
    <row r="153" spans="1:11" s="4" customFormat="1" ht="45" x14ac:dyDescent="0.25">
      <c r="A153" s="174">
        <v>65</v>
      </c>
      <c r="B153" s="174" t="s">
        <v>324</v>
      </c>
      <c r="C153" s="174" t="s">
        <v>565</v>
      </c>
      <c r="D153" s="174">
        <v>1</v>
      </c>
      <c r="E153" s="174" t="s">
        <v>572</v>
      </c>
      <c r="F153" s="174" t="s">
        <v>568</v>
      </c>
      <c r="G153" s="174" t="s">
        <v>554</v>
      </c>
      <c r="H153" s="2">
        <v>1</v>
      </c>
      <c r="I153" s="2" t="s">
        <v>934</v>
      </c>
      <c r="J153" s="2" t="s">
        <v>617</v>
      </c>
      <c r="K153" s="2" t="s">
        <v>5</v>
      </c>
    </row>
    <row r="154" spans="1:11" s="4" customFormat="1" ht="60" x14ac:dyDescent="0.25">
      <c r="A154" s="179"/>
      <c r="B154" s="179"/>
      <c r="C154" s="179"/>
      <c r="D154" s="179"/>
      <c r="E154" s="179"/>
      <c r="F154" s="179"/>
      <c r="G154" s="179"/>
      <c r="H154" s="2">
        <v>2</v>
      </c>
      <c r="I154" s="2" t="s">
        <v>664</v>
      </c>
      <c r="J154" s="2" t="s">
        <v>617</v>
      </c>
      <c r="K154" s="2" t="s">
        <v>5</v>
      </c>
    </row>
    <row r="155" spans="1:11" s="4" customFormat="1" ht="75" x14ac:dyDescent="0.25">
      <c r="A155" s="175"/>
      <c r="B155" s="175"/>
      <c r="C155" s="175"/>
      <c r="D155" s="175"/>
      <c r="E155" s="175"/>
      <c r="F155" s="175"/>
      <c r="G155" s="175"/>
      <c r="H155" s="2">
        <v>3</v>
      </c>
      <c r="I155" s="2" t="s">
        <v>665</v>
      </c>
      <c r="J155" s="2" t="s">
        <v>617</v>
      </c>
      <c r="K155" s="2" t="s">
        <v>5</v>
      </c>
    </row>
    <row r="156" spans="1:11" s="4" customFormat="1" ht="30" x14ac:dyDescent="0.25">
      <c r="A156" s="2">
        <v>66</v>
      </c>
      <c r="B156" s="2" t="s">
        <v>420</v>
      </c>
      <c r="C156" s="2" t="s">
        <v>561</v>
      </c>
      <c r="D156" s="2">
        <v>1</v>
      </c>
      <c r="E156" s="2" t="s">
        <v>572</v>
      </c>
      <c r="F156" s="2" t="s">
        <v>568</v>
      </c>
      <c r="G156" s="2" t="s">
        <v>538</v>
      </c>
      <c r="H156" s="2"/>
      <c r="I156" s="2" t="s">
        <v>662</v>
      </c>
      <c r="J156" s="2" t="s">
        <v>617</v>
      </c>
      <c r="K156" s="2" t="s">
        <v>5</v>
      </c>
    </row>
  </sheetData>
  <mergeCells count="272">
    <mergeCell ref="G153:G155"/>
    <mergeCell ref="B74:G74"/>
    <mergeCell ref="D150:D152"/>
    <mergeCell ref="E150:E152"/>
    <mergeCell ref="F150:F152"/>
    <mergeCell ref="G150:G152"/>
    <mergeCell ref="A153:A155"/>
    <mergeCell ref="B153:B155"/>
    <mergeCell ref="C153:C155"/>
    <mergeCell ref="D153:D155"/>
    <mergeCell ref="E153:E155"/>
    <mergeCell ref="F153:F155"/>
    <mergeCell ref="G144:G146"/>
    <mergeCell ref="A147:A149"/>
    <mergeCell ref="A138:A140"/>
    <mergeCell ref="B138:B140"/>
    <mergeCell ref="C138:C140"/>
    <mergeCell ref="D138:D140"/>
    <mergeCell ref="E138:E140"/>
    <mergeCell ref="F138:F140"/>
    <mergeCell ref="G138:G140"/>
    <mergeCell ref="B147:B149"/>
    <mergeCell ref="C147:C149"/>
    <mergeCell ref="D147:D149"/>
    <mergeCell ref="E147:E149"/>
    <mergeCell ref="F147:F149"/>
    <mergeCell ref="G147:G149"/>
    <mergeCell ref="D141:D143"/>
    <mergeCell ref="E141:E143"/>
    <mergeCell ref="F141:F143"/>
    <mergeCell ref="G141:G143"/>
    <mergeCell ref="D132:D134"/>
    <mergeCell ref="E132:E134"/>
    <mergeCell ref="F132:F134"/>
    <mergeCell ref="G132:G134"/>
    <mergeCell ref="G135:G137"/>
    <mergeCell ref="D144:D146"/>
    <mergeCell ref="E144:E146"/>
    <mergeCell ref="F144:F146"/>
    <mergeCell ref="A135:A137"/>
    <mergeCell ref="B135:B137"/>
    <mergeCell ref="C135:C137"/>
    <mergeCell ref="D135:D137"/>
    <mergeCell ref="E135:E137"/>
    <mergeCell ref="F135:F137"/>
    <mergeCell ref="A132:A134"/>
    <mergeCell ref="B132:B134"/>
    <mergeCell ref="C132:C134"/>
    <mergeCell ref="G126:G128"/>
    <mergeCell ref="A129:A131"/>
    <mergeCell ref="B129:B131"/>
    <mergeCell ref="C129:C131"/>
    <mergeCell ref="D129:D131"/>
    <mergeCell ref="E129:E131"/>
    <mergeCell ref="F129:F131"/>
    <mergeCell ref="G129:G131"/>
    <mergeCell ref="D123:D125"/>
    <mergeCell ref="E123:E125"/>
    <mergeCell ref="F123:F125"/>
    <mergeCell ref="G123:G125"/>
    <mergeCell ref="A126:A128"/>
    <mergeCell ref="B126:B128"/>
    <mergeCell ref="C126:C128"/>
    <mergeCell ref="D126:D128"/>
    <mergeCell ref="E126:E128"/>
    <mergeCell ref="F126:F128"/>
    <mergeCell ref="A123:A125"/>
    <mergeCell ref="B123:B125"/>
    <mergeCell ref="C123:C125"/>
    <mergeCell ref="G117:G119"/>
    <mergeCell ref="A120:A122"/>
    <mergeCell ref="B120:B122"/>
    <mergeCell ref="C120:C122"/>
    <mergeCell ref="D120:D122"/>
    <mergeCell ref="E120:E122"/>
    <mergeCell ref="F120:F122"/>
    <mergeCell ref="G120:G122"/>
    <mergeCell ref="D114:D116"/>
    <mergeCell ref="E114:E116"/>
    <mergeCell ref="F114:F116"/>
    <mergeCell ref="G114:G116"/>
    <mergeCell ref="A117:A119"/>
    <mergeCell ref="B117:B119"/>
    <mergeCell ref="C117:C119"/>
    <mergeCell ref="D117:D119"/>
    <mergeCell ref="E117:E119"/>
    <mergeCell ref="F117:F119"/>
    <mergeCell ref="A114:A116"/>
    <mergeCell ref="B114:B116"/>
    <mergeCell ref="C114:C116"/>
    <mergeCell ref="G108:G110"/>
    <mergeCell ref="A111:A113"/>
    <mergeCell ref="B111:B113"/>
    <mergeCell ref="C111:C113"/>
    <mergeCell ref="D111:D113"/>
    <mergeCell ref="E111:E113"/>
    <mergeCell ref="F111:F113"/>
    <mergeCell ref="G111:G113"/>
    <mergeCell ref="D105:D107"/>
    <mergeCell ref="E105:E107"/>
    <mergeCell ref="F105:F107"/>
    <mergeCell ref="G105:G107"/>
    <mergeCell ref="A108:A110"/>
    <mergeCell ref="B108:B110"/>
    <mergeCell ref="C108:C110"/>
    <mergeCell ref="D108:D110"/>
    <mergeCell ref="E108:E110"/>
    <mergeCell ref="F108:F110"/>
    <mergeCell ref="A105:A107"/>
    <mergeCell ref="B105:B107"/>
    <mergeCell ref="C105:C107"/>
    <mergeCell ref="G99:G101"/>
    <mergeCell ref="A102:A104"/>
    <mergeCell ref="B102:B104"/>
    <mergeCell ref="C102:C104"/>
    <mergeCell ref="D102:D104"/>
    <mergeCell ref="E102:E104"/>
    <mergeCell ref="F102:F104"/>
    <mergeCell ref="G102:G104"/>
    <mergeCell ref="D96:D98"/>
    <mergeCell ref="E96:E98"/>
    <mergeCell ref="F96:F98"/>
    <mergeCell ref="G96:G98"/>
    <mergeCell ref="A99:A101"/>
    <mergeCell ref="B99:B101"/>
    <mergeCell ref="C99:C101"/>
    <mergeCell ref="D99:D101"/>
    <mergeCell ref="E99:E101"/>
    <mergeCell ref="F99:F101"/>
    <mergeCell ref="A96:A98"/>
    <mergeCell ref="B96:B98"/>
    <mergeCell ref="C96:C98"/>
    <mergeCell ref="B93:B95"/>
    <mergeCell ref="C93:C95"/>
    <mergeCell ref="D93:D95"/>
    <mergeCell ref="E93:E95"/>
    <mergeCell ref="F93:F95"/>
    <mergeCell ref="G93:G95"/>
    <mergeCell ref="G87:G89"/>
    <mergeCell ref="A90:A92"/>
    <mergeCell ref="B90:B92"/>
    <mergeCell ref="C90:C92"/>
    <mergeCell ref="D90:D92"/>
    <mergeCell ref="E90:E92"/>
    <mergeCell ref="F90:F92"/>
    <mergeCell ref="G90:G92"/>
    <mergeCell ref="A93:A95"/>
    <mergeCell ref="D84:D86"/>
    <mergeCell ref="E84:E86"/>
    <mergeCell ref="F84:F86"/>
    <mergeCell ref="G84:G86"/>
    <mergeCell ref="A87:A89"/>
    <mergeCell ref="B87:B89"/>
    <mergeCell ref="C87:C89"/>
    <mergeCell ref="D87:D89"/>
    <mergeCell ref="E87:E89"/>
    <mergeCell ref="F87:F89"/>
    <mergeCell ref="A84:A86"/>
    <mergeCell ref="B84:B86"/>
    <mergeCell ref="C84:C86"/>
    <mergeCell ref="G78:G80"/>
    <mergeCell ref="A81:A83"/>
    <mergeCell ref="B81:B83"/>
    <mergeCell ref="C81:C83"/>
    <mergeCell ref="D81:D83"/>
    <mergeCell ref="E81:E83"/>
    <mergeCell ref="F81:F83"/>
    <mergeCell ref="G81:G83"/>
    <mergeCell ref="D75:D77"/>
    <mergeCell ref="E75:E77"/>
    <mergeCell ref="F75:F77"/>
    <mergeCell ref="G75:G77"/>
    <mergeCell ref="A78:A80"/>
    <mergeCell ref="B78:B80"/>
    <mergeCell ref="C78:C80"/>
    <mergeCell ref="D78:D80"/>
    <mergeCell ref="E78:E80"/>
    <mergeCell ref="F78:F80"/>
    <mergeCell ref="A75:A77"/>
    <mergeCell ref="B75:B77"/>
    <mergeCell ref="C75:C77"/>
    <mergeCell ref="B63:G63"/>
    <mergeCell ref="G46:G55"/>
    <mergeCell ref="A61:A62"/>
    <mergeCell ref="B61:B62"/>
    <mergeCell ref="C61:C62"/>
    <mergeCell ref="D61:D62"/>
    <mergeCell ref="E61:E62"/>
    <mergeCell ref="F61:F62"/>
    <mergeCell ref="G61:G62"/>
    <mergeCell ref="B59:B60"/>
    <mergeCell ref="C59:C60"/>
    <mergeCell ref="D59:D60"/>
    <mergeCell ref="E59:E60"/>
    <mergeCell ref="F59:F60"/>
    <mergeCell ref="G59:G60"/>
    <mergeCell ref="A59:A60"/>
    <mergeCell ref="D39:D43"/>
    <mergeCell ref="E39:E43"/>
    <mergeCell ref="F39:F43"/>
    <mergeCell ref="G39:G43"/>
    <mergeCell ref="A46:A55"/>
    <mergeCell ref="B46:B55"/>
    <mergeCell ref="C46:C55"/>
    <mergeCell ref="D46:D55"/>
    <mergeCell ref="E46:E55"/>
    <mergeCell ref="F46:F55"/>
    <mergeCell ref="A15:A17"/>
    <mergeCell ref="A18:A20"/>
    <mergeCell ref="A21:A23"/>
    <mergeCell ref="A24:A26"/>
    <mergeCell ref="A27:A29"/>
    <mergeCell ref="B12:B14"/>
    <mergeCell ref="B15:B17"/>
    <mergeCell ref="B18:B20"/>
    <mergeCell ref="B21:B23"/>
    <mergeCell ref="B24:B26"/>
    <mergeCell ref="E15:E17"/>
    <mergeCell ref="F15:F17"/>
    <mergeCell ref="G15:G17"/>
    <mergeCell ref="C18:C20"/>
    <mergeCell ref="D18:D20"/>
    <mergeCell ref="E18:E20"/>
    <mergeCell ref="F18:F20"/>
    <mergeCell ref="G18:G20"/>
    <mergeCell ref="B31:G32"/>
    <mergeCell ref="D24:D26"/>
    <mergeCell ref="E24:E26"/>
    <mergeCell ref="F24:F26"/>
    <mergeCell ref="G24:G26"/>
    <mergeCell ref="C27:C29"/>
    <mergeCell ref="D27:D29"/>
    <mergeCell ref="E27:E29"/>
    <mergeCell ref="F27:F29"/>
    <mergeCell ref="G27:G29"/>
    <mergeCell ref="D21:D23"/>
    <mergeCell ref="E21:E23"/>
    <mergeCell ref="F21:F23"/>
    <mergeCell ref="G21:G23"/>
    <mergeCell ref="A150:A152"/>
    <mergeCell ref="B150:B152"/>
    <mergeCell ref="C150:C152"/>
    <mergeCell ref="A141:A143"/>
    <mergeCell ref="B141:B143"/>
    <mergeCell ref="C141:C143"/>
    <mergeCell ref="A144:A146"/>
    <mergeCell ref="B144:B146"/>
    <mergeCell ref="C144:C146"/>
    <mergeCell ref="B8:G8"/>
    <mergeCell ref="A9:A11"/>
    <mergeCell ref="B9:B11"/>
    <mergeCell ref="C9:C11"/>
    <mergeCell ref="B67:G67"/>
    <mergeCell ref="A39:A43"/>
    <mergeCell ref="B39:B43"/>
    <mergeCell ref="C39:C43"/>
    <mergeCell ref="B27:B29"/>
    <mergeCell ref="A31:A32"/>
    <mergeCell ref="C21:C23"/>
    <mergeCell ref="C15:C17"/>
    <mergeCell ref="A12:A14"/>
    <mergeCell ref="D9:D11"/>
    <mergeCell ref="E9:E11"/>
    <mergeCell ref="F9:F11"/>
    <mergeCell ref="G9:G11"/>
    <mergeCell ref="C12:C14"/>
    <mergeCell ref="D12:D14"/>
    <mergeCell ref="E12:E14"/>
    <mergeCell ref="F12:F14"/>
    <mergeCell ref="G12:G14"/>
    <mergeCell ref="C24:C26"/>
    <mergeCell ref="D15:D17"/>
  </mergeCells>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6432C-B962-466C-A0A1-85C24BFB5CBD}">
  <sheetPr codeName="Planilha7">
    <tabColor theme="3" tint="0.59999389629810485"/>
  </sheetPr>
  <dimension ref="A1:AMO151"/>
  <sheetViews>
    <sheetView showGridLines="0" zoomScaleNormal="100" workbookViewId="0">
      <pane ySplit="1" topLeftCell="A22" activePane="bottomLeft" state="frozen"/>
      <selection pane="bottomLeft" activeCell="B25" sqref="B25:G25"/>
    </sheetView>
  </sheetViews>
  <sheetFormatPr defaultColWidth="9.109375" defaultRowHeight="13.2" x14ac:dyDescent="0.25"/>
  <cols>
    <col min="1" max="1" width="12.6640625" style="6" bestFit="1" customWidth="1"/>
    <col min="2" max="2" width="43" style="6" customWidth="1"/>
    <col min="3" max="6" width="8.5546875" style="6" customWidth="1"/>
    <col min="7" max="7" width="35.6640625" style="6" customWidth="1"/>
    <col min="8" max="8" width="5.6640625" style="18" customWidth="1"/>
    <col min="9" max="9" width="42.88671875" style="11" customWidth="1"/>
    <col min="10" max="11" width="20.44140625" style="11" customWidth="1"/>
    <col min="12" max="14" width="11.33203125" style="11" customWidth="1"/>
    <col min="15" max="15" width="16" style="11" bestFit="1" customWidth="1"/>
    <col min="16" max="1029" width="17.6640625" style="11" customWidth="1"/>
    <col min="1030" max="16384" width="9.109375" style="14"/>
  </cols>
  <sheetData>
    <row r="1" spans="1:15" s="39" customFormat="1" ht="30" customHeight="1" x14ac:dyDescent="0.25">
      <c r="A1" s="35" t="s">
        <v>524</v>
      </c>
      <c r="B1" s="35" t="s">
        <v>525</v>
      </c>
      <c r="C1" s="35" t="s">
        <v>564</v>
      </c>
      <c r="D1" s="35" t="s">
        <v>560</v>
      </c>
      <c r="E1" s="35" t="s">
        <v>556</v>
      </c>
      <c r="F1" s="35" t="s">
        <v>528</v>
      </c>
      <c r="G1" s="35" t="s">
        <v>539</v>
      </c>
      <c r="H1" s="35" t="s">
        <v>523</v>
      </c>
      <c r="I1" s="35" t="s">
        <v>0</v>
      </c>
      <c r="J1" s="35" t="s">
        <v>667</v>
      </c>
      <c r="K1" s="35" t="s">
        <v>668</v>
      </c>
      <c r="L1" s="36" t="s">
        <v>6</v>
      </c>
      <c r="M1" s="37" t="s">
        <v>7</v>
      </c>
      <c r="N1" s="38" t="s">
        <v>8</v>
      </c>
      <c r="O1" s="76" t="s">
        <v>1039</v>
      </c>
    </row>
    <row r="2" spans="1:15" s="4" customFormat="1" ht="30" x14ac:dyDescent="0.25">
      <c r="A2" s="2">
        <v>1</v>
      </c>
      <c r="B2" s="2" t="s">
        <v>11</v>
      </c>
      <c r="C2" s="2" t="s">
        <v>561</v>
      </c>
      <c r="D2" s="2">
        <v>2</v>
      </c>
      <c r="E2" s="2" t="s">
        <v>572</v>
      </c>
      <c r="F2" s="87" t="s">
        <v>567</v>
      </c>
      <c r="G2" s="87" t="s">
        <v>669</v>
      </c>
      <c r="H2" s="2">
        <v>1</v>
      </c>
      <c r="I2" s="2" t="s">
        <v>670</v>
      </c>
      <c r="J2" s="2" t="s">
        <v>617</v>
      </c>
      <c r="K2" s="2" t="s">
        <v>5</v>
      </c>
    </row>
    <row r="3" spans="1:15" s="4" customFormat="1" ht="45" x14ac:dyDescent="0.25">
      <c r="A3" s="2">
        <v>2</v>
      </c>
      <c r="B3" s="2" t="s">
        <v>12</v>
      </c>
      <c r="C3" s="2" t="s">
        <v>561</v>
      </c>
      <c r="D3" s="2">
        <v>8</v>
      </c>
      <c r="E3" s="2" t="s">
        <v>572</v>
      </c>
      <c r="F3" s="2" t="s">
        <v>567</v>
      </c>
      <c r="G3" s="2" t="s">
        <v>555</v>
      </c>
      <c r="H3" s="2">
        <v>1</v>
      </c>
      <c r="I3" s="2" t="s">
        <v>626</v>
      </c>
      <c r="J3" s="2" t="s">
        <v>617</v>
      </c>
      <c r="K3" s="2" t="s">
        <v>5</v>
      </c>
    </row>
    <row r="4" spans="1:15" s="4" customFormat="1" ht="75" x14ac:dyDescent="0.25">
      <c r="A4" s="174">
        <v>3</v>
      </c>
      <c r="B4" s="174" t="s">
        <v>220</v>
      </c>
      <c r="C4" s="174" t="s">
        <v>561</v>
      </c>
      <c r="D4" s="174">
        <v>20</v>
      </c>
      <c r="E4" s="174" t="s">
        <v>573</v>
      </c>
      <c r="F4" s="174" t="s">
        <v>571</v>
      </c>
      <c r="G4" s="174" t="s">
        <v>543</v>
      </c>
      <c r="H4" s="2">
        <v>1</v>
      </c>
      <c r="I4" s="2" t="s">
        <v>673</v>
      </c>
      <c r="J4" s="2" t="s">
        <v>617</v>
      </c>
      <c r="K4" s="2" t="s">
        <v>5</v>
      </c>
    </row>
    <row r="5" spans="1:15" s="4" customFormat="1" ht="60" x14ac:dyDescent="0.25">
      <c r="A5" s="175"/>
      <c r="B5" s="175"/>
      <c r="C5" s="175"/>
      <c r="D5" s="175"/>
      <c r="E5" s="175"/>
      <c r="F5" s="175"/>
      <c r="G5" s="175"/>
      <c r="H5" s="2">
        <v>2</v>
      </c>
      <c r="I5" s="2" t="s">
        <v>674</v>
      </c>
      <c r="J5" s="2" t="s">
        <v>617</v>
      </c>
      <c r="K5" s="2" t="s">
        <v>5</v>
      </c>
    </row>
    <row r="6" spans="1:15" s="4" customFormat="1" ht="75" x14ac:dyDescent="0.25">
      <c r="A6" s="174">
        <v>4</v>
      </c>
      <c r="B6" s="174" t="s">
        <v>221</v>
      </c>
      <c r="C6" s="174" t="s">
        <v>523</v>
      </c>
      <c r="D6" s="174">
        <v>12</v>
      </c>
      <c r="E6" s="174" t="s">
        <v>572</v>
      </c>
      <c r="F6" s="174" t="s">
        <v>567</v>
      </c>
      <c r="G6" s="174" t="s">
        <v>555</v>
      </c>
      <c r="H6" s="2">
        <v>1</v>
      </c>
      <c r="I6" s="2" t="s">
        <v>1125</v>
      </c>
      <c r="J6" s="2" t="s">
        <v>617</v>
      </c>
      <c r="K6" s="2" t="s">
        <v>5</v>
      </c>
    </row>
    <row r="7" spans="1:15" s="4" customFormat="1" ht="90" x14ac:dyDescent="0.25">
      <c r="A7" s="175"/>
      <c r="B7" s="175"/>
      <c r="C7" s="175"/>
      <c r="D7" s="175"/>
      <c r="E7" s="175"/>
      <c r="F7" s="175"/>
      <c r="G7" s="175"/>
      <c r="H7" s="2">
        <v>2</v>
      </c>
      <c r="I7" s="2" t="s">
        <v>675</v>
      </c>
      <c r="J7" s="2" t="s">
        <v>232</v>
      </c>
      <c r="K7" s="2" t="s">
        <v>672</v>
      </c>
    </row>
    <row r="8" spans="1:15" s="4" customFormat="1" ht="150" x14ac:dyDescent="0.25">
      <c r="A8" s="174">
        <v>5</v>
      </c>
      <c r="B8" s="174" t="s">
        <v>222</v>
      </c>
      <c r="C8" s="174" t="s">
        <v>565</v>
      </c>
      <c r="D8" s="174">
        <v>11</v>
      </c>
      <c r="E8" s="174" t="s">
        <v>572</v>
      </c>
      <c r="F8" s="174" t="s">
        <v>567</v>
      </c>
      <c r="G8" s="174" t="s">
        <v>555</v>
      </c>
      <c r="H8" s="2">
        <v>1</v>
      </c>
      <c r="I8" s="2" t="s">
        <v>676</v>
      </c>
      <c r="J8" s="2" t="s">
        <v>617</v>
      </c>
      <c r="K8" s="2" t="s">
        <v>5</v>
      </c>
    </row>
    <row r="9" spans="1:15" s="4" customFormat="1" ht="135" x14ac:dyDescent="0.25">
      <c r="A9" s="179"/>
      <c r="B9" s="179"/>
      <c r="C9" s="179"/>
      <c r="D9" s="179"/>
      <c r="E9" s="179"/>
      <c r="F9" s="179"/>
      <c r="G9" s="179"/>
      <c r="H9" s="2">
        <v>2</v>
      </c>
      <c r="I9" s="2" t="s">
        <v>1219</v>
      </c>
      <c r="J9" s="2" t="s">
        <v>671</v>
      </c>
      <c r="K9" s="2" t="s">
        <v>5</v>
      </c>
    </row>
    <row r="10" spans="1:15" s="4" customFormat="1" ht="90" x14ac:dyDescent="0.25">
      <c r="A10" s="179"/>
      <c r="B10" s="179"/>
      <c r="C10" s="179"/>
      <c r="D10" s="179"/>
      <c r="E10" s="179"/>
      <c r="F10" s="179"/>
      <c r="G10" s="179"/>
      <c r="H10" s="2">
        <v>3</v>
      </c>
      <c r="I10" s="2" t="s">
        <v>1126</v>
      </c>
      <c r="J10" s="2" t="s">
        <v>232</v>
      </c>
      <c r="K10" s="2" t="s">
        <v>672</v>
      </c>
    </row>
    <row r="11" spans="1:15" s="4" customFormat="1" ht="135" x14ac:dyDescent="0.25">
      <c r="A11" s="175"/>
      <c r="B11" s="175"/>
      <c r="C11" s="175"/>
      <c r="D11" s="175"/>
      <c r="E11" s="175"/>
      <c r="F11" s="175"/>
      <c r="G11" s="175"/>
      <c r="H11" s="2">
        <v>4</v>
      </c>
      <c r="I11" s="2" t="s">
        <v>1127</v>
      </c>
      <c r="J11" s="2" t="s">
        <v>232</v>
      </c>
      <c r="K11" s="2" t="s">
        <v>672</v>
      </c>
    </row>
    <row r="12" spans="1:15" s="4" customFormat="1" ht="120" x14ac:dyDescent="0.25">
      <c r="A12" s="174">
        <v>6</v>
      </c>
      <c r="B12" s="174" t="s">
        <v>223</v>
      </c>
      <c r="C12" s="174" t="s">
        <v>561</v>
      </c>
      <c r="D12" s="174">
        <v>100</v>
      </c>
      <c r="E12" s="174" t="s">
        <v>573</v>
      </c>
      <c r="F12" s="174" t="s">
        <v>571</v>
      </c>
      <c r="G12" s="174" t="s">
        <v>677</v>
      </c>
      <c r="H12" s="2">
        <v>1</v>
      </c>
      <c r="I12" s="2" t="s">
        <v>1128</v>
      </c>
      <c r="J12" s="2" t="s">
        <v>617</v>
      </c>
      <c r="K12" s="2" t="s">
        <v>5</v>
      </c>
    </row>
    <row r="13" spans="1:15" s="4" customFormat="1" ht="75" x14ac:dyDescent="0.25">
      <c r="A13" s="175"/>
      <c r="B13" s="175"/>
      <c r="C13" s="175"/>
      <c r="D13" s="175"/>
      <c r="E13" s="175"/>
      <c r="F13" s="175"/>
      <c r="G13" s="175"/>
      <c r="H13" s="2">
        <v>2</v>
      </c>
      <c r="I13" s="2" t="s">
        <v>936</v>
      </c>
      <c r="J13" s="2" t="s">
        <v>232</v>
      </c>
      <c r="K13" s="2" t="s">
        <v>5</v>
      </c>
    </row>
    <row r="14" spans="1:15" s="4" customFormat="1" ht="75" x14ac:dyDescent="0.25">
      <c r="A14" s="174">
        <v>7</v>
      </c>
      <c r="B14" s="174" t="s">
        <v>224</v>
      </c>
      <c r="C14" s="174" t="s">
        <v>561</v>
      </c>
      <c r="D14" s="174">
        <v>10</v>
      </c>
      <c r="E14" s="174" t="s">
        <v>561</v>
      </c>
      <c r="F14" s="174" t="s">
        <v>527</v>
      </c>
      <c r="G14" s="174" t="s">
        <v>540</v>
      </c>
      <c r="H14" s="2">
        <v>1</v>
      </c>
      <c r="I14" s="2" t="s">
        <v>720</v>
      </c>
      <c r="J14" s="2" t="s">
        <v>617</v>
      </c>
      <c r="K14" s="2" t="s">
        <v>5</v>
      </c>
    </row>
    <row r="15" spans="1:15" s="4" customFormat="1" ht="75" x14ac:dyDescent="0.25">
      <c r="A15" s="179"/>
      <c r="B15" s="179"/>
      <c r="C15" s="179"/>
      <c r="D15" s="179"/>
      <c r="E15" s="179"/>
      <c r="F15" s="179"/>
      <c r="G15" s="179"/>
      <c r="H15" s="2">
        <v>2</v>
      </c>
      <c r="I15" s="2" t="s">
        <v>935</v>
      </c>
      <c r="J15" s="2" t="s">
        <v>617</v>
      </c>
      <c r="K15" s="2" t="s">
        <v>5</v>
      </c>
    </row>
    <row r="16" spans="1:15" s="4" customFormat="1" ht="75" x14ac:dyDescent="0.25">
      <c r="A16" s="175"/>
      <c r="B16" s="175"/>
      <c r="C16" s="175"/>
      <c r="D16" s="175"/>
      <c r="E16" s="175"/>
      <c r="F16" s="175"/>
      <c r="G16" s="175"/>
      <c r="H16" s="2">
        <v>3</v>
      </c>
      <c r="I16" s="2" t="s">
        <v>936</v>
      </c>
      <c r="J16" s="2" t="s">
        <v>232</v>
      </c>
      <c r="K16" s="2" t="s">
        <v>5</v>
      </c>
    </row>
    <row r="17" spans="1:11" s="4" customFormat="1" ht="30" x14ac:dyDescent="0.25">
      <c r="A17" s="174">
        <v>8</v>
      </c>
      <c r="B17" s="174" t="s">
        <v>225</v>
      </c>
      <c r="C17" s="174" t="s">
        <v>561</v>
      </c>
      <c r="D17" s="174">
        <v>1</v>
      </c>
      <c r="E17" s="174" t="s">
        <v>572</v>
      </c>
      <c r="F17" s="174" t="s">
        <v>568</v>
      </c>
      <c r="G17" s="174" t="s">
        <v>721</v>
      </c>
      <c r="H17" s="2">
        <v>1</v>
      </c>
      <c r="I17" s="2" t="s">
        <v>662</v>
      </c>
      <c r="J17" s="2" t="s">
        <v>617</v>
      </c>
      <c r="K17" s="2" t="s">
        <v>5</v>
      </c>
    </row>
    <row r="18" spans="1:11" s="4" customFormat="1" ht="45" x14ac:dyDescent="0.25">
      <c r="A18" s="179"/>
      <c r="B18" s="179"/>
      <c r="C18" s="179"/>
      <c r="D18" s="179"/>
      <c r="E18" s="179"/>
      <c r="F18" s="179"/>
      <c r="G18" s="179"/>
      <c r="H18" s="2">
        <v>2</v>
      </c>
      <c r="I18" s="2" t="s">
        <v>722</v>
      </c>
      <c r="J18" s="2" t="s">
        <v>617</v>
      </c>
      <c r="K18" s="2" t="s">
        <v>5</v>
      </c>
    </row>
    <row r="19" spans="1:11" s="4" customFormat="1" ht="75" x14ac:dyDescent="0.25">
      <c r="A19" s="175"/>
      <c r="B19" s="175"/>
      <c r="C19" s="175"/>
      <c r="D19" s="175"/>
      <c r="E19" s="175"/>
      <c r="F19" s="175"/>
      <c r="G19" s="175"/>
      <c r="H19" s="2">
        <v>3</v>
      </c>
      <c r="I19" s="2" t="s">
        <v>936</v>
      </c>
      <c r="J19" s="2" t="s">
        <v>232</v>
      </c>
      <c r="K19" s="2" t="s">
        <v>5</v>
      </c>
    </row>
    <row r="20" spans="1:11" s="4" customFormat="1" ht="150" x14ac:dyDescent="0.25">
      <c r="A20" s="174">
        <v>9</v>
      </c>
      <c r="B20" s="174" t="s">
        <v>226</v>
      </c>
      <c r="C20" s="174" t="s">
        <v>565</v>
      </c>
      <c r="D20" s="174">
        <v>100</v>
      </c>
      <c r="E20" s="174" t="s">
        <v>573</v>
      </c>
      <c r="F20" s="174" t="s">
        <v>571</v>
      </c>
      <c r="G20" s="174" t="s">
        <v>677</v>
      </c>
      <c r="H20" s="2">
        <v>1</v>
      </c>
      <c r="I20" s="2" t="s">
        <v>1129</v>
      </c>
      <c r="J20" s="2" t="s">
        <v>617</v>
      </c>
      <c r="K20" s="2" t="s">
        <v>5</v>
      </c>
    </row>
    <row r="21" spans="1:11" s="4" customFormat="1" ht="75" x14ac:dyDescent="0.25">
      <c r="A21" s="175"/>
      <c r="B21" s="175"/>
      <c r="C21" s="175"/>
      <c r="D21" s="175"/>
      <c r="E21" s="175"/>
      <c r="F21" s="175"/>
      <c r="G21" s="175"/>
      <c r="H21" s="2">
        <v>2</v>
      </c>
      <c r="I21" s="2" t="s">
        <v>936</v>
      </c>
      <c r="J21" s="2" t="s">
        <v>232</v>
      </c>
      <c r="K21" s="2" t="s">
        <v>5</v>
      </c>
    </row>
    <row r="22" spans="1:11" s="4" customFormat="1" ht="165" x14ac:dyDescent="0.25">
      <c r="A22" s="174">
        <v>10</v>
      </c>
      <c r="B22" s="174" t="s">
        <v>227</v>
      </c>
      <c r="C22" s="174" t="s">
        <v>565</v>
      </c>
      <c r="D22" s="174">
        <v>100</v>
      </c>
      <c r="E22" s="174" t="s">
        <v>573</v>
      </c>
      <c r="F22" s="174" t="s">
        <v>571</v>
      </c>
      <c r="G22" s="174" t="s">
        <v>677</v>
      </c>
      <c r="H22" s="2">
        <v>1</v>
      </c>
      <c r="I22" s="2" t="s">
        <v>1130</v>
      </c>
      <c r="J22" s="2" t="s">
        <v>617</v>
      </c>
      <c r="K22" s="2" t="s">
        <v>5</v>
      </c>
    </row>
    <row r="23" spans="1:11" s="4" customFormat="1" ht="75" x14ac:dyDescent="0.25">
      <c r="A23" s="175"/>
      <c r="B23" s="175"/>
      <c r="C23" s="175"/>
      <c r="D23" s="175"/>
      <c r="E23" s="175"/>
      <c r="F23" s="175"/>
      <c r="G23" s="175"/>
      <c r="H23" s="2">
        <v>2</v>
      </c>
      <c r="I23" s="2" t="s">
        <v>936</v>
      </c>
      <c r="J23" s="2" t="s">
        <v>232</v>
      </c>
      <c r="K23" s="2" t="s">
        <v>5</v>
      </c>
    </row>
    <row r="24" spans="1:11" s="4" customFormat="1" ht="30" x14ac:dyDescent="0.25">
      <c r="A24" s="2">
        <v>11</v>
      </c>
      <c r="B24" s="2" t="s">
        <v>228</v>
      </c>
      <c r="C24" s="2" t="s">
        <v>561</v>
      </c>
      <c r="D24" s="2">
        <v>1</v>
      </c>
      <c r="E24" s="2" t="s">
        <v>572</v>
      </c>
      <c r="F24" s="87" t="s">
        <v>568</v>
      </c>
      <c r="G24" s="87" t="s">
        <v>724</v>
      </c>
      <c r="H24" s="2">
        <v>1</v>
      </c>
      <c r="I24" s="2" t="s">
        <v>723</v>
      </c>
      <c r="J24" s="2" t="s">
        <v>617</v>
      </c>
      <c r="K24" s="2" t="s">
        <v>5</v>
      </c>
    </row>
    <row r="25" spans="1:11" s="4" customFormat="1" ht="90" x14ac:dyDescent="0.25">
      <c r="A25" s="2">
        <v>12</v>
      </c>
      <c r="B25" s="2" t="s">
        <v>229</v>
      </c>
      <c r="C25" s="2" t="s">
        <v>561</v>
      </c>
      <c r="D25" s="2">
        <v>1</v>
      </c>
      <c r="E25" s="2" t="s">
        <v>572</v>
      </c>
      <c r="F25" s="87" t="s">
        <v>568</v>
      </c>
      <c r="G25" s="87" t="s">
        <v>725</v>
      </c>
      <c r="H25" s="2">
        <v>1</v>
      </c>
      <c r="I25" s="2" t="s">
        <v>726</v>
      </c>
      <c r="J25" s="2" t="s">
        <v>617</v>
      </c>
      <c r="K25" s="2" t="s">
        <v>5</v>
      </c>
    </row>
    <row r="26" spans="1:11" s="4" customFormat="1" ht="60" x14ac:dyDescent="0.25">
      <c r="A26" s="2">
        <v>13</v>
      </c>
      <c r="B26" s="2" t="s">
        <v>425</v>
      </c>
      <c r="C26" s="2" t="s">
        <v>565</v>
      </c>
      <c r="D26" s="2">
        <v>3</v>
      </c>
      <c r="E26" s="2" t="s">
        <v>573</v>
      </c>
      <c r="F26" s="87" t="s">
        <v>567</v>
      </c>
      <c r="G26" s="87" t="s">
        <v>730</v>
      </c>
      <c r="H26" s="2">
        <v>1</v>
      </c>
      <c r="I26" s="2" t="s">
        <v>937</v>
      </c>
      <c r="J26" s="2" t="s">
        <v>617</v>
      </c>
      <c r="K26" s="2" t="s">
        <v>5</v>
      </c>
    </row>
    <row r="27" spans="1:11" s="4" customFormat="1" ht="60" x14ac:dyDescent="0.25">
      <c r="A27" s="2">
        <v>14</v>
      </c>
      <c r="B27" s="2" t="s">
        <v>230</v>
      </c>
      <c r="C27" s="2" t="s">
        <v>561</v>
      </c>
      <c r="D27" s="2">
        <v>1</v>
      </c>
      <c r="E27" s="2" t="s">
        <v>572</v>
      </c>
      <c r="F27" s="87" t="s">
        <v>568</v>
      </c>
      <c r="G27" s="87" t="s">
        <v>727</v>
      </c>
      <c r="H27" s="2">
        <v>1</v>
      </c>
      <c r="I27" s="2" t="s">
        <v>635</v>
      </c>
      <c r="J27" s="2" t="s">
        <v>617</v>
      </c>
      <c r="K27" s="2" t="s">
        <v>5</v>
      </c>
    </row>
    <row r="28" spans="1:11" s="4" customFormat="1" ht="45" x14ac:dyDescent="0.25">
      <c r="A28" s="174">
        <v>15</v>
      </c>
      <c r="B28" s="174" t="s">
        <v>286</v>
      </c>
      <c r="C28" s="174" t="s">
        <v>561</v>
      </c>
      <c r="D28" s="174">
        <v>3</v>
      </c>
      <c r="E28" s="174" t="s">
        <v>573</v>
      </c>
      <c r="F28" s="174" t="s">
        <v>567</v>
      </c>
      <c r="G28" s="174" t="s">
        <v>728</v>
      </c>
      <c r="H28" s="2">
        <v>1</v>
      </c>
      <c r="I28" s="2" t="s">
        <v>938</v>
      </c>
      <c r="J28" s="2" t="s">
        <v>617</v>
      </c>
      <c r="K28" s="2" t="s">
        <v>5</v>
      </c>
    </row>
    <row r="29" spans="1:11" s="4" customFormat="1" ht="45" x14ac:dyDescent="0.25">
      <c r="A29" s="175"/>
      <c r="B29" s="175"/>
      <c r="C29" s="175"/>
      <c r="D29" s="175"/>
      <c r="E29" s="175"/>
      <c r="F29" s="175"/>
      <c r="G29" s="175"/>
      <c r="H29" s="2">
        <v>2</v>
      </c>
      <c r="I29" s="2" t="s">
        <v>939</v>
      </c>
      <c r="J29" s="2" t="s">
        <v>617</v>
      </c>
      <c r="K29" s="2" t="s">
        <v>5</v>
      </c>
    </row>
    <row r="30" spans="1:11" s="4" customFormat="1" ht="60" x14ac:dyDescent="0.25">
      <c r="A30" s="2">
        <v>16</v>
      </c>
      <c r="B30" s="2" t="s">
        <v>231</v>
      </c>
      <c r="C30" s="2" t="s">
        <v>565</v>
      </c>
      <c r="D30" s="2">
        <v>7</v>
      </c>
      <c r="E30" s="2" t="s">
        <v>572</v>
      </c>
      <c r="F30" s="87" t="s">
        <v>567</v>
      </c>
      <c r="G30" s="87" t="s">
        <v>729</v>
      </c>
      <c r="H30" s="2">
        <v>1</v>
      </c>
      <c r="I30" s="2" t="s">
        <v>940</v>
      </c>
      <c r="J30" s="2" t="s">
        <v>617</v>
      </c>
      <c r="K30" s="2" t="s">
        <v>5</v>
      </c>
    </row>
    <row r="31" spans="1:11" s="4" customFormat="1" ht="30" x14ac:dyDescent="0.25">
      <c r="A31" s="174">
        <v>17</v>
      </c>
      <c r="B31" s="174" t="s">
        <v>429</v>
      </c>
      <c r="C31" s="174" t="s">
        <v>561</v>
      </c>
      <c r="D31" s="174">
        <v>1</v>
      </c>
      <c r="E31" s="174" t="s">
        <v>572</v>
      </c>
      <c r="F31" s="174" t="s">
        <v>568</v>
      </c>
      <c r="G31" s="174" t="s">
        <v>538</v>
      </c>
      <c r="H31" s="2">
        <v>1</v>
      </c>
      <c r="I31" s="2" t="s">
        <v>662</v>
      </c>
      <c r="J31" s="2" t="s">
        <v>617</v>
      </c>
      <c r="K31" s="2" t="s">
        <v>5</v>
      </c>
    </row>
    <row r="32" spans="1:11" s="4" customFormat="1" ht="45" x14ac:dyDescent="0.25">
      <c r="A32" s="179"/>
      <c r="B32" s="179"/>
      <c r="C32" s="179"/>
      <c r="D32" s="179"/>
      <c r="E32" s="179"/>
      <c r="F32" s="179"/>
      <c r="G32" s="179"/>
      <c r="H32" s="2">
        <v>2</v>
      </c>
      <c r="I32" s="2" t="s">
        <v>731</v>
      </c>
      <c r="J32" s="2" t="s">
        <v>617</v>
      </c>
      <c r="K32" s="2" t="s">
        <v>5</v>
      </c>
    </row>
    <row r="33" spans="1:11" s="4" customFormat="1" ht="75" x14ac:dyDescent="0.25">
      <c r="A33" s="175"/>
      <c r="B33" s="175"/>
      <c r="C33" s="175"/>
      <c r="D33" s="175"/>
      <c r="E33" s="175"/>
      <c r="F33" s="175"/>
      <c r="G33" s="175"/>
      <c r="H33" s="2">
        <v>3</v>
      </c>
      <c r="I33" s="2" t="s">
        <v>736</v>
      </c>
      <c r="J33" s="2" t="s">
        <v>232</v>
      </c>
      <c r="K33" s="2" t="s">
        <v>672</v>
      </c>
    </row>
    <row r="34" spans="1:11" s="15" customFormat="1" ht="78" x14ac:dyDescent="0.25">
      <c r="A34" s="180" t="s">
        <v>426</v>
      </c>
      <c r="B34" s="182" t="s">
        <v>428</v>
      </c>
      <c r="C34" s="183"/>
      <c r="D34" s="183"/>
      <c r="E34" s="183"/>
      <c r="F34" s="183"/>
      <c r="G34" s="184"/>
      <c r="H34" s="88">
        <v>1</v>
      </c>
      <c r="I34" s="88" t="str">
        <f>"Pelo menos um dos campos de "&amp;A34&amp;" deve ser 1 quando [Pessoa física com deficiência, transtorno do espectro autista e altas habilidades ou superdotação] for 1"</f>
        <v>Pelo menos um dos campos de 18 a 28 deve ser 1 quando [Pessoa física com deficiência, transtorno do espectro autista e altas habilidades ou superdotação] for 1</v>
      </c>
      <c r="J34" s="88" t="s">
        <v>617</v>
      </c>
      <c r="K34" s="88" t="s">
        <v>5</v>
      </c>
    </row>
    <row r="35" spans="1:11" s="15" customFormat="1" ht="218.4" x14ac:dyDescent="0.25">
      <c r="A35" s="181"/>
      <c r="B35" s="185"/>
      <c r="C35" s="186"/>
      <c r="D35" s="186"/>
      <c r="E35" s="186"/>
      <c r="F35" s="186"/>
      <c r="G35" s="187"/>
      <c r="H35" s="88">
        <v>2</v>
      </c>
      <c r="I35" s="88" t="s">
        <v>733</v>
      </c>
      <c r="J35" s="88" t="s">
        <v>617</v>
      </c>
      <c r="K35" s="88" t="s">
        <v>5</v>
      </c>
    </row>
    <row r="36" spans="1:11" s="4" customFormat="1" ht="90" x14ac:dyDescent="0.25">
      <c r="A36" s="2">
        <v>18</v>
      </c>
      <c r="B36" s="2" t="s">
        <v>233</v>
      </c>
      <c r="C36" s="2" t="s">
        <v>565</v>
      </c>
      <c r="D36" s="2">
        <v>1</v>
      </c>
      <c r="E36" s="2" t="s">
        <v>572</v>
      </c>
      <c r="F36" s="87" t="s">
        <v>568</v>
      </c>
      <c r="G36" s="87" t="s">
        <v>538</v>
      </c>
      <c r="H36" s="2">
        <v>1</v>
      </c>
      <c r="I36" s="2" t="s">
        <v>732</v>
      </c>
      <c r="J36" s="2" t="s">
        <v>617</v>
      </c>
      <c r="K36" s="2" t="s">
        <v>5</v>
      </c>
    </row>
    <row r="37" spans="1:11" s="4" customFormat="1" ht="90" x14ac:dyDescent="0.25">
      <c r="A37" s="2">
        <v>19</v>
      </c>
      <c r="B37" s="2" t="s">
        <v>234</v>
      </c>
      <c r="C37" s="2" t="s">
        <v>565</v>
      </c>
      <c r="D37" s="2">
        <v>1</v>
      </c>
      <c r="E37" s="2" t="s">
        <v>572</v>
      </c>
      <c r="F37" s="87" t="s">
        <v>568</v>
      </c>
      <c r="G37" s="87" t="s">
        <v>538</v>
      </c>
      <c r="H37" s="2">
        <v>1</v>
      </c>
      <c r="I37" s="2" t="s">
        <v>732</v>
      </c>
      <c r="J37" s="2" t="s">
        <v>617</v>
      </c>
      <c r="K37" s="2" t="s">
        <v>5</v>
      </c>
    </row>
    <row r="38" spans="1:11" s="4" customFormat="1" ht="90" x14ac:dyDescent="0.25">
      <c r="A38" s="2">
        <v>20</v>
      </c>
      <c r="B38" s="2" t="s">
        <v>375</v>
      </c>
      <c r="C38" s="2" t="s">
        <v>565</v>
      </c>
      <c r="D38" s="2">
        <v>1</v>
      </c>
      <c r="E38" s="2" t="s">
        <v>572</v>
      </c>
      <c r="F38" s="87" t="s">
        <v>568</v>
      </c>
      <c r="G38" s="87" t="s">
        <v>538</v>
      </c>
      <c r="H38" s="2">
        <v>1</v>
      </c>
      <c r="I38" s="2" t="s">
        <v>732</v>
      </c>
      <c r="J38" s="2" t="s">
        <v>617</v>
      </c>
      <c r="K38" s="2" t="s">
        <v>5</v>
      </c>
    </row>
    <row r="39" spans="1:11" s="4" customFormat="1" ht="90" x14ac:dyDescent="0.25">
      <c r="A39" s="2">
        <v>21</v>
      </c>
      <c r="B39" s="2" t="s">
        <v>235</v>
      </c>
      <c r="C39" s="2" t="s">
        <v>565</v>
      </c>
      <c r="D39" s="2">
        <v>1</v>
      </c>
      <c r="E39" s="2" t="s">
        <v>572</v>
      </c>
      <c r="F39" s="87" t="s">
        <v>568</v>
      </c>
      <c r="G39" s="87" t="s">
        <v>538</v>
      </c>
      <c r="H39" s="2">
        <v>1</v>
      </c>
      <c r="I39" s="2" t="s">
        <v>732</v>
      </c>
      <c r="J39" s="2" t="s">
        <v>617</v>
      </c>
      <c r="K39" s="2" t="s">
        <v>5</v>
      </c>
    </row>
    <row r="40" spans="1:11" s="4" customFormat="1" ht="90" x14ac:dyDescent="0.25">
      <c r="A40" s="2">
        <v>22</v>
      </c>
      <c r="B40" s="2" t="s">
        <v>236</v>
      </c>
      <c r="C40" s="2" t="s">
        <v>565</v>
      </c>
      <c r="D40" s="2">
        <v>1</v>
      </c>
      <c r="E40" s="2" t="s">
        <v>572</v>
      </c>
      <c r="F40" s="87" t="s">
        <v>568</v>
      </c>
      <c r="G40" s="87" t="s">
        <v>538</v>
      </c>
      <c r="H40" s="2">
        <v>1</v>
      </c>
      <c r="I40" s="2" t="s">
        <v>732</v>
      </c>
      <c r="J40" s="2" t="s">
        <v>617</v>
      </c>
      <c r="K40" s="2" t="s">
        <v>5</v>
      </c>
    </row>
    <row r="41" spans="1:11" s="4" customFormat="1" ht="90" x14ac:dyDescent="0.25">
      <c r="A41" s="2">
        <v>23</v>
      </c>
      <c r="B41" s="2" t="s">
        <v>237</v>
      </c>
      <c r="C41" s="2" t="s">
        <v>565</v>
      </c>
      <c r="D41" s="2">
        <v>1</v>
      </c>
      <c r="E41" s="2" t="s">
        <v>572</v>
      </c>
      <c r="F41" s="87" t="s">
        <v>568</v>
      </c>
      <c r="G41" s="87" t="s">
        <v>538</v>
      </c>
      <c r="H41" s="2">
        <v>1</v>
      </c>
      <c r="I41" s="2" t="s">
        <v>732</v>
      </c>
      <c r="J41" s="2" t="s">
        <v>617</v>
      </c>
      <c r="K41" s="2" t="s">
        <v>5</v>
      </c>
    </row>
    <row r="42" spans="1:11" s="4" customFormat="1" ht="90" x14ac:dyDescent="0.25">
      <c r="A42" s="2">
        <v>24</v>
      </c>
      <c r="B42" s="2" t="s">
        <v>238</v>
      </c>
      <c r="C42" s="2" t="s">
        <v>565</v>
      </c>
      <c r="D42" s="2">
        <v>1</v>
      </c>
      <c r="E42" s="2" t="s">
        <v>572</v>
      </c>
      <c r="F42" s="87" t="s">
        <v>568</v>
      </c>
      <c r="G42" s="87" t="s">
        <v>538</v>
      </c>
      <c r="H42" s="2">
        <v>1</v>
      </c>
      <c r="I42" s="2" t="s">
        <v>732</v>
      </c>
      <c r="J42" s="2" t="s">
        <v>617</v>
      </c>
      <c r="K42" s="2" t="s">
        <v>5</v>
      </c>
    </row>
    <row r="43" spans="1:11" s="4" customFormat="1" ht="90" x14ac:dyDescent="0.25">
      <c r="A43" s="2">
        <v>25</v>
      </c>
      <c r="B43" s="2" t="s">
        <v>239</v>
      </c>
      <c r="C43" s="2" t="s">
        <v>565</v>
      </c>
      <c r="D43" s="2">
        <v>1</v>
      </c>
      <c r="E43" s="2" t="s">
        <v>572</v>
      </c>
      <c r="F43" s="87" t="s">
        <v>568</v>
      </c>
      <c r="G43" s="87" t="s">
        <v>538</v>
      </c>
      <c r="H43" s="2">
        <v>1</v>
      </c>
      <c r="I43" s="2" t="s">
        <v>732</v>
      </c>
      <c r="J43" s="2" t="s">
        <v>617</v>
      </c>
      <c r="K43" s="2" t="s">
        <v>5</v>
      </c>
    </row>
    <row r="44" spans="1:11" s="4" customFormat="1" ht="90" x14ac:dyDescent="0.25">
      <c r="A44" s="174">
        <v>26</v>
      </c>
      <c r="B44" s="174" t="s">
        <v>240</v>
      </c>
      <c r="C44" s="174" t="s">
        <v>565</v>
      </c>
      <c r="D44" s="174">
        <v>1</v>
      </c>
      <c r="E44" s="174" t="s">
        <v>572</v>
      </c>
      <c r="F44" s="174" t="s">
        <v>568</v>
      </c>
      <c r="G44" s="174" t="s">
        <v>538</v>
      </c>
      <c r="H44" s="2">
        <v>1</v>
      </c>
      <c r="I44" s="2" t="s">
        <v>732</v>
      </c>
      <c r="J44" s="2" t="s">
        <v>617</v>
      </c>
      <c r="K44" s="2" t="s">
        <v>5</v>
      </c>
    </row>
    <row r="45" spans="1:11" s="4" customFormat="1" ht="60" x14ac:dyDescent="0.25">
      <c r="A45" s="175"/>
      <c r="B45" s="175"/>
      <c r="C45" s="175"/>
      <c r="D45" s="175"/>
      <c r="E45" s="175"/>
      <c r="F45" s="175"/>
      <c r="G45" s="175"/>
      <c r="H45" s="2">
        <v>2</v>
      </c>
      <c r="I45" s="2" t="s">
        <v>782</v>
      </c>
      <c r="J45" s="2" t="s">
        <v>617</v>
      </c>
      <c r="K45" s="2" t="s">
        <v>5</v>
      </c>
    </row>
    <row r="46" spans="1:11" s="4" customFormat="1" ht="90" x14ac:dyDescent="0.25">
      <c r="A46" s="2">
        <v>27</v>
      </c>
      <c r="B46" s="2" t="s">
        <v>241</v>
      </c>
      <c r="C46" s="2" t="s">
        <v>565</v>
      </c>
      <c r="D46" s="2">
        <v>1</v>
      </c>
      <c r="E46" s="2" t="s">
        <v>572</v>
      </c>
      <c r="F46" s="87" t="s">
        <v>568</v>
      </c>
      <c r="G46" s="87" t="s">
        <v>538</v>
      </c>
      <c r="H46" s="2">
        <v>1</v>
      </c>
      <c r="I46" s="2" t="s">
        <v>732</v>
      </c>
      <c r="J46" s="2" t="s">
        <v>617</v>
      </c>
      <c r="K46" s="2" t="s">
        <v>5</v>
      </c>
    </row>
    <row r="47" spans="1:11" s="4" customFormat="1" ht="90" x14ac:dyDescent="0.25">
      <c r="A47" s="2">
        <v>28</v>
      </c>
      <c r="B47" s="2" t="s">
        <v>287</v>
      </c>
      <c r="C47" s="2" t="s">
        <v>565</v>
      </c>
      <c r="D47" s="2">
        <v>1</v>
      </c>
      <c r="E47" s="2" t="s">
        <v>572</v>
      </c>
      <c r="F47" s="87" t="s">
        <v>568</v>
      </c>
      <c r="G47" s="87" t="s">
        <v>538</v>
      </c>
      <c r="H47" s="2">
        <v>1</v>
      </c>
      <c r="I47" s="2" t="s">
        <v>732</v>
      </c>
      <c r="J47" s="2" t="s">
        <v>617</v>
      </c>
      <c r="K47" s="2" t="s">
        <v>5</v>
      </c>
    </row>
    <row r="48" spans="1:11" s="4" customFormat="1" ht="45" x14ac:dyDescent="0.25">
      <c r="A48" s="174">
        <v>29</v>
      </c>
      <c r="B48" s="174" t="s">
        <v>1133</v>
      </c>
      <c r="C48" s="174" t="s">
        <v>565</v>
      </c>
      <c r="D48" s="174">
        <v>1</v>
      </c>
      <c r="E48" s="174" t="s">
        <v>572</v>
      </c>
      <c r="F48" s="174" t="s">
        <v>568</v>
      </c>
      <c r="G48" s="174" t="s">
        <v>538</v>
      </c>
      <c r="H48" s="2">
        <v>1</v>
      </c>
      <c r="I48" s="2" t="s">
        <v>734</v>
      </c>
      <c r="J48" s="2" t="s">
        <v>617</v>
      </c>
      <c r="K48" s="2" t="s">
        <v>5</v>
      </c>
    </row>
    <row r="49" spans="1:11" s="4" customFormat="1" ht="75" x14ac:dyDescent="0.25">
      <c r="A49" s="175"/>
      <c r="B49" s="175"/>
      <c r="C49" s="175"/>
      <c r="D49" s="175"/>
      <c r="E49" s="175"/>
      <c r="F49" s="175"/>
      <c r="G49" s="175"/>
      <c r="H49" s="2">
        <v>2</v>
      </c>
      <c r="I49" s="2" t="s">
        <v>735</v>
      </c>
      <c r="J49" s="2" t="s">
        <v>232</v>
      </c>
      <c r="K49" s="2" t="s">
        <v>672</v>
      </c>
    </row>
    <row r="50" spans="1:11" s="15" customFormat="1" ht="78" x14ac:dyDescent="0.25">
      <c r="A50" s="88" t="s">
        <v>437</v>
      </c>
      <c r="B50" s="176" t="s">
        <v>1131</v>
      </c>
      <c r="C50" s="177"/>
      <c r="D50" s="177"/>
      <c r="E50" s="177"/>
      <c r="F50" s="177"/>
      <c r="G50" s="178"/>
      <c r="H50" s="2">
        <v>1</v>
      </c>
      <c r="I50" s="88" t="str">
        <f>"Pelo menos um dos campos de "&amp;A50&amp;" deve ser 1 quando [Pessoa física com transtorno que impacta o desenvolvimento da aprendizagem] for 1"</f>
        <v>Pelo menos um dos campos de 30 a 35 deve ser 1 quando [Pessoa física com transtorno que impacta o desenvolvimento da aprendizagem] for 1</v>
      </c>
      <c r="J50" s="88" t="s">
        <v>617</v>
      </c>
      <c r="K50" s="88" t="s">
        <v>5</v>
      </c>
    </row>
    <row r="51" spans="1:11" s="4" customFormat="1" ht="75" x14ac:dyDescent="0.25">
      <c r="A51" s="2">
        <v>30</v>
      </c>
      <c r="B51" s="2" t="s">
        <v>431</v>
      </c>
      <c r="C51" s="2" t="s">
        <v>565</v>
      </c>
      <c r="D51" s="2">
        <v>1</v>
      </c>
      <c r="E51" s="2" t="s">
        <v>572</v>
      </c>
      <c r="F51" s="87" t="s">
        <v>568</v>
      </c>
      <c r="G51" s="87" t="s">
        <v>538</v>
      </c>
      <c r="H51" s="2">
        <v>1</v>
      </c>
      <c r="I51" s="2" t="s">
        <v>1132</v>
      </c>
      <c r="J51" s="2" t="s">
        <v>617</v>
      </c>
      <c r="K51" s="2" t="s">
        <v>5</v>
      </c>
    </row>
    <row r="52" spans="1:11" s="4" customFormat="1" ht="75" x14ac:dyDescent="0.25">
      <c r="A52" s="2">
        <v>31</v>
      </c>
      <c r="B52" s="2" t="s">
        <v>432</v>
      </c>
      <c r="C52" s="2" t="s">
        <v>565</v>
      </c>
      <c r="D52" s="2">
        <v>1</v>
      </c>
      <c r="E52" s="2" t="s">
        <v>572</v>
      </c>
      <c r="F52" s="87" t="s">
        <v>568</v>
      </c>
      <c r="G52" s="87" t="s">
        <v>538</v>
      </c>
      <c r="H52" s="2">
        <v>1</v>
      </c>
      <c r="I52" s="2" t="s">
        <v>1132</v>
      </c>
      <c r="J52" s="2" t="s">
        <v>617</v>
      </c>
      <c r="K52" s="2" t="s">
        <v>5</v>
      </c>
    </row>
    <row r="53" spans="1:11" s="4" customFormat="1" ht="75" x14ac:dyDescent="0.25">
      <c r="A53" s="2">
        <v>32</v>
      </c>
      <c r="B53" s="2" t="s">
        <v>433</v>
      </c>
      <c r="C53" s="2" t="s">
        <v>565</v>
      </c>
      <c r="D53" s="2">
        <v>1</v>
      </c>
      <c r="E53" s="2" t="s">
        <v>572</v>
      </c>
      <c r="F53" s="87" t="s">
        <v>568</v>
      </c>
      <c r="G53" s="87" t="s">
        <v>538</v>
      </c>
      <c r="H53" s="2">
        <v>1</v>
      </c>
      <c r="I53" s="2" t="s">
        <v>1132</v>
      </c>
      <c r="J53" s="2" t="s">
        <v>617</v>
      </c>
      <c r="K53" s="2" t="s">
        <v>5</v>
      </c>
    </row>
    <row r="54" spans="1:11" s="4" customFormat="1" ht="75" x14ac:dyDescent="0.25">
      <c r="A54" s="2">
        <v>33</v>
      </c>
      <c r="B54" s="2" t="s">
        <v>434</v>
      </c>
      <c r="C54" s="2" t="s">
        <v>565</v>
      </c>
      <c r="D54" s="2">
        <v>1</v>
      </c>
      <c r="E54" s="2" t="s">
        <v>572</v>
      </c>
      <c r="F54" s="87" t="s">
        <v>568</v>
      </c>
      <c r="G54" s="87" t="s">
        <v>538</v>
      </c>
      <c r="H54" s="2">
        <v>1</v>
      </c>
      <c r="I54" s="2" t="s">
        <v>1132</v>
      </c>
      <c r="J54" s="2" t="s">
        <v>617</v>
      </c>
      <c r="K54" s="2" t="s">
        <v>5</v>
      </c>
    </row>
    <row r="55" spans="1:11" s="4" customFormat="1" ht="75" x14ac:dyDescent="0.25">
      <c r="A55" s="2">
        <v>34</v>
      </c>
      <c r="B55" s="2" t="s">
        <v>435</v>
      </c>
      <c r="C55" s="2" t="s">
        <v>565</v>
      </c>
      <c r="D55" s="2">
        <v>1</v>
      </c>
      <c r="E55" s="2" t="s">
        <v>572</v>
      </c>
      <c r="F55" s="87" t="s">
        <v>568</v>
      </c>
      <c r="G55" s="87" t="s">
        <v>538</v>
      </c>
      <c r="H55" s="2">
        <v>1</v>
      </c>
      <c r="I55" s="2" t="s">
        <v>1132</v>
      </c>
      <c r="J55" s="2" t="s">
        <v>617</v>
      </c>
      <c r="K55" s="2" t="s">
        <v>5</v>
      </c>
    </row>
    <row r="56" spans="1:11" s="4" customFormat="1" ht="75" x14ac:dyDescent="0.25">
      <c r="A56" s="2">
        <v>35</v>
      </c>
      <c r="B56" s="2" t="s">
        <v>436</v>
      </c>
      <c r="C56" s="2" t="s">
        <v>565</v>
      </c>
      <c r="D56" s="2">
        <v>1</v>
      </c>
      <c r="E56" s="2" t="s">
        <v>572</v>
      </c>
      <c r="F56" s="87" t="s">
        <v>568</v>
      </c>
      <c r="G56" s="87" t="s">
        <v>538</v>
      </c>
      <c r="H56" s="2">
        <v>1</v>
      </c>
      <c r="I56" s="2" t="s">
        <v>1132</v>
      </c>
      <c r="J56" s="2" t="s">
        <v>617</v>
      </c>
      <c r="K56" s="2" t="s">
        <v>5</v>
      </c>
    </row>
    <row r="57" spans="1:11" s="15" customFormat="1" ht="156" x14ac:dyDescent="0.25">
      <c r="A57" s="174" t="s">
        <v>449</v>
      </c>
      <c r="B57" s="188" t="s">
        <v>351</v>
      </c>
      <c r="C57" s="189"/>
      <c r="D57" s="189"/>
      <c r="E57" s="189"/>
      <c r="F57" s="189"/>
      <c r="G57" s="190"/>
      <c r="H57" s="2">
        <v>1</v>
      </c>
      <c r="I57" s="88" t="s">
        <v>1134</v>
      </c>
      <c r="J57" s="88" t="s">
        <v>617</v>
      </c>
      <c r="K57" s="88" t="s">
        <v>5</v>
      </c>
    </row>
    <row r="58" spans="1:11" s="15" customFormat="1" ht="62.4" x14ac:dyDescent="0.25">
      <c r="A58" s="175"/>
      <c r="B58" s="191"/>
      <c r="C58" s="192"/>
      <c r="D58" s="192"/>
      <c r="E58" s="192"/>
      <c r="F58" s="192"/>
      <c r="G58" s="193"/>
      <c r="H58" s="2">
        <v>2</v>
      </c>
      <c r="I58" s="88" t="s">
        <v>941</v>
      </c>
      <c r="J58" s="88" t="s">
        <v>617</v>
      </c>
      <c r="K58" s="88" t="s">
        <v>5</v>
      </c>
    </row>
    <row r="59" spans="1:11" s="4" customFormat="1" ht="135" x14ac:dyDescent="0.25">
      <c r="A59" s="2">
        <v>36</v>
      </c>
      <c r="B59" s="2" t="s">
        <v>242</v>
      </c>
      <c r="C59" s="2" t="s">
        <v>565</v>
      </c>
      <c r="D59" s="2">
        <v>1</v>
      </c>
      <c r="E59" s="2" t="s">
        <v>572</v>
      </c>
      <c r="F59" s="87" t="s">
        <v>568</v>
      </c>
      <c r="G59" s="87" t="s">
        <v>538</v>
      </c>
      <c r="H59" s="2">
        <v>1</v>
      </c>
      <c r="I59" s="2" t="s">
        <v>1135</v>
      </c>
      <c r="J59" s="2" t="s">
        <v>617</v>
      </c>
      <c r="K59" s="2" t="s">
        <v>5</v>
      </c>
    </row>
    <row r="60" spans="1:11" s="4" customFormat="1" ht="135" x14ac:dyDescent="0.25">
      <c r="A60" s="174">
        <v>37</v>
      </c>
      <c r="B60" s="174" t="s">
        <v>243</v>
      </c>
      <c r="C60" s="174" t="s">
        <v>565</v>
      </c>
      <c r="D60" s="174">
        <v>1</v>
      </c>
      <c r="E60" s="174" t="s">
        <v>572</v>
      </c>
      <c r="F60" s="174" t="s">
        <v>568</v>
      </c>
      <c r="G60" s="174" t="s">
        <v>538</v>
      </c>
      <c r="H60" s="2">
        <v>1</v>
      </c>
      <c r="I60" s="2" t="s">
        <v>1135</v>
      </c>
      <c r="J60" s="2" t="s">
        <v>617</v>
      </c>
      <c r="K60" s="2" t="s">
        <v>5</v>
      </c>
    </row>
    <row r="61" spans="1:11" s="4" customFormat="1" ht="75" x14ac:dyDescent="0.25">
      <c r="A61" s="175"/>
      <c r="B61" s="175"/>
      <c r="C61" s="175"/>
      <c r="D61" s="175"/>
      <c r="E61" s="175"/>
      <c r="F61" s="175"/>
      <c r="G61" s="175"/>
      <c r="H61" s="2">
        <v>2</v>
      </c>
      <c r="I61" s="2" t="s">
        <v>942</v>
      </c>
      <c r="J61" s="2" t="s">
        <v>617</v>
      </c>
      <c r="K61" s="2" t="s">
        <v>5</v>
      </c>
    </row>
    <row r="62" spans="1:11" s="4" customFormat="1" ht="135" x14ac:dyDescent="0.25">
      <c r="A62" s="2">
        <v>38</v>
      </c>
      <c r="B62" s="2" t="s">
        <v>244</v>
      </c>
      <c r="C62" s="2" t="s">
        <v>565</v>
      </c>
      <c r="D62" s="2">
        <v>1</v>
      </c>
      <c r="E62" s="2" t="s">
        <v>572</v>
      </c>
      <c r="F62" s="87" t="s">
        <v>568</v>
      </c>
      <c r="G62" s="87" t="s">
        <v>538</v>
      </c>
      <c r="H62" s="2">
        <v>1</v>
      </c>
      <c r="I62" s="2" t="s">
        <v>1135</v>
      </c>
      <c r="J62" s="2" t="s">
        <v>617</v>
      </c>
      <c r="K62" s="2" t="s">
        <v>5</v>
      </c>
    </row>
    <row r="63" spans="1:11" s="4" customFormat="1" ht="135" x14ac:dyDescent="0.25">
      <c r="A63" s="2">
        <v>39</v>
      </c>
      <c r="B63" s="2" t="s">
        <v>245</v>
      </c>
      <c r="C63" s="2" t="s">
        <v>565</v>
      </c>
      <c r="D63" s="2">
        <v>1</v>
      </c>
      <c r="E63" s="2" t="s">
        <v>572</v>
      </c>
      <c r="F63" s="87" t="s">
        <v>568</v>
      </c>
      <c r="G63" s="87" t="s">
        <v>538</v>
      </c>
      <c r="H63" s="2">
        <v>1</v>
      </c>
      <c r="I63" s="2" t="s">
        <v>1135</v>
      </c>
      <c r="J63" s="2" t="s">
        <v>617</v>
      </c>
      <c r="K63" s="2" t="s">
        <v>5</v>
      </c>
    </row>
    <row r="64" spans="1:11" s="4" customFormat="1" ht="135" x14ac:dyDescent="0.25">
      <c r="A64" s="2">
        <v>40</v>
      </c>
      <c r="B64" s="2" t="s">
        <v>246</v>
      </c>
      <c r="C64" s="2" t="s">
        <v>565</v>
      </c>
      <c r="D64" s="2">
        <v>1</v>
      </c>
      <c r="E64" s="2" t="s">
        <v>572</v>
      </c>
      <c r="F64" s="87" t="s">
        <v>568</v>
      </c>
      <c r="G64" s="87" t="s">
        <v>538</v>
      </c>
      <c r="H64" s="2">
        <v>1</v>
      </c>
      <c r="I64" s="2" t="s">
        <v>1135</v>
      </c>
      <c r="J64" s="2" t="s">
        <v>617</v>
      </c>
      <c r="K64" s="2" t="s">
        <v>5</v>
      </c>
    </row>
    <row r="65" spans="1:11" s="4" customFormat="1" ht="135" x14ac:dyDescent="0.25">
      <c r="A65" s="2">
        <v>41</v>
      </c>
      <c r="B65" s="2" t="s">
        <v>247</v>
      </c>
      <c r="C65" s="2" t="s">
        <v>565</v>
      </c>
      <c r="D65" s="2">
        <v>1</v>
      </c>
      <c r="E65" s="2" t="s">
        <v>572</v>
      </c>
      <c r="F65" s="87" t="s">
        <v>568</v>
      </c>
      <c r="G65" s="87" t="s">
        <v>538</v>
      </c>
      <c r="H65" s="2">
        <v>1</v>
      </c>
      <c r="I65" s="2" t="s">
        <v>1135</v>
      </c>
      <c r="J65" s="2" t="s">
        <v>617</v>
      </c>
      <c r="K65" s="2" t="s">
        <v>5</v>
      </c>
    </row>
    <row r="66" spans="1:11" s="4" customFormat="1" ht="135" x14ac:dyDescent="0.25">
      <c r="A66" s="174">
        <v>42</v>
      </c>
      <c r="B66" s="174" t="s">
        <v>248</v>
      </c>
      <c r="C66" s="174" t="s">
        <v>565</v>
      </c>
      <c r="D66" s="174">
        <v>1</v>
      </c>
      <c r="E66" s="174" t="s">
        <v>572</v>
      </c>
      <c r="F66" s="174" t="s">
        <v>568</v>
      </c>
      <c r="G66" s="174" t="s">
        <v>538</v>
      </c>
      <c r="H66" s="2">
        <v>1</v>
      </c>
      <c r="I66" s="2" t="s">
        <v>1135</v>
      </c>
      <c r="J66" s="2" t="s">
        <v>617</v>
      </c>
      <c r="K66" s="2" t="s">
        <v>5</v>
      </c>
    </row>
    <row r="67" spans="1:11" s="4" customFormat="1" ht="45" x14ac:dyDescent="0.25">
      <c r="A67" s="175"/>
      <c r="B67" s="175"/>
      <c r="C67" s="175"/>
      <c r="D67" s="175"/>
      <c r="E67" s="175"/>
      <c r="F67" s="175"/>
      <c r="G67" s="175"/>
      <c r="H67" s="2">
        <v>2</v>
      </c>
      <c r="I67" s="2" t="s">
        <v>1029</v>
      </c>
      <c r="J67" s="2" t="s">
        <v>617</v>
      </c>
      <c r="K67" s="2" t="s">
        <v>5</v>
      </c>
    </row>
    <row r="68" spans="1:11" s="4" customFormat="1" ht="135" x14ac:dyDescent="0.25">
      <c r="A68" s="2">
        <v>43</v>
      </c>
      <c r="B68" s="2" t="s">
        <v>381</v>
      </c>
      <c r="C68" s="2" t="s">
        <v>565</v>
      </c>
      <c r="D68" s="2">
        <v>1</v>
      </c>
      <c r="E68" s="2" t="s">
        <v>572</v>
      </c>
      <c r="F68" s="87" t="s">
        <v>568</v>
      </c>
      <c r="G68" s="87" t="s">
        <v>538</v>
      </c>
      <c r="H68" s="2">
        <v>1</v>
      </c>
      <c r="I68" s="2" t="s">
        <v>1135</v>
      </c>
      <c r="J68" s="2" t="s">
        <v>617</v>
      </c>
      <c r="K68" s="2" t="s">
        <v>5</v>
      </c>
    </row>
    <row r="69" spans="1:11" s="4" customFormat="1" ht="135" x14ac:dyDescent="0.25">
      <c r="A69" s="2">
        <v>44</v>
      </c>
      <c r="B69" s="2" t="s">
        <v>382</v>
      </c>
      <c r="C69" s="2" t="s">
        <v>565</v>
      </c>
      <c r="D69" s="2">
        <v>1</v>
      </c>
      <c r="E69" s="2" t="s">
        <v>572</v>
      </c>
      <c r="F69" s="87" t="s">
        <v>568</v>
      </c>
      <c r="G69" s="87" t="s">
        <v>538</v>
      </c>
      <c r="H69" s="2">
        <v>1</v>
      </c>
      <c r="I69" s="2" t="s">
        <v>1135</v>
      </c>
      <c r="J69" s="2" t="s">
        <v>617</v>
      </c>
      <c r="K69" s="2" t="s">
        <v>5</v>
      </c>
    </row>
    <row r="70" spans="1:11" s="4" customFormat="1" ht="135" x14ac:dyDescent="0.25">
      <c r="A70" s="2">
        <v>45</v>
      </c>
      <c r="B70" s="2" t="s">
        <v>249</v>
      </c>
      <c r="C70" s="2" t="s">
        <v>565</v>
      </c>
      <c r="D70" s="2">
        <v>1</v>
      </c>
      <c r="E70" s="2" t="s">
        <v>572</v>
      </c>
      <c r="F70" s="87" t="s">
        <v>568</v>
      </c>
      <c r="G70" s="87" t="s">
        <v>538</v>
      </c>
      <c r="H70" s="2">
        <v>1</v>
      </c>
      <c r="I70" s="2" t="s">
        <v>1135</v>
      </c>
      <c r="J70" s="2" t="s">
        <v>617</v>
      </c>
      <c r="K70" s="2" t="s">
        <v>5</v>
      </c>
    </row>
    <row r="71" spans="1:11" s="4" customFormat="1" ht="135" x14ac:dyDescent="0.25">
      <c r="A71" s="2">
        <v>46</v>
      </c>
      <c r="B71" s="2" t="s">
        <v>444</v>
      </c>
      <c r="C71" s="2" t="s">
        <v>565</v>
      </c>
      <c r="D71" s="2">
        <v>1</v>
      </c>
      <c r="E71" s="2" t="s">
        <v>572</v>
      </c>
      <c r="F71" s="87" t="s">
        <v>568</v>
      </c>
      <c r="G71" s="87" t="s">
        <v>538</v>
      </c>
      <c r="H71" s="2">
        <v>1</v>
      </c>
      <c r="I71" s="2" t="s">
        <v>1135</v>
      </c>
      <c r="J71" s="2" t="s">
        <v>617</v>
      </c>
      <c r="K71" s="2" t="s">
        <v>5</v>
      </c>
    </row>
    <row r="72" spans="1:11" s="4" customFormat="1" ht="135" x14ac:dyDescent="0.25">
      <c r="A72" s="2">
        <v>47</v>
      </c>
      <c r="B72" s="2" t="s">
        <v>445</v>
      </c>
      <c r="C72" s="2" t="s">
        <v>565</v>
      </c>
      <c r="D72" s="2">
        <v>1</v>
      </c>
      <c r="E72" s="2" t="s">
        <v>572</v>
      </c>
      <c r="F72" s="87" t="s">
        <v>568</v>
      </c>
      <c r="G72" s="87" t="s">
        <v>538</v>
      </c>
      <c r="H72" s="2">
        <v>1</v>
      </c>
      <c r="I72" s="2" t="s">
        <v>1135</v>
      </c>
      <c r="J72" s="2" t="s">
        <v>617</v>
      </c>
      <c r="K72" s="2" t="s">
        <v>5</v>
      </c>
    </row>
    <row r="73" spans="1:11" s="4" customFormat="1" ht="135" x14ac:dyDescent="0.25">
      <c r="A73" s="2">
        <v>48</v>
      </c>
      <c r="B73" s="2" t="s">
        <v>439</v>
      </c>
      <c r="C73" s="2" t="s">
        <v>565</v>
      </c>
      <c r="D73" s="2">
        <v>1</v>
      </c>
      <c r="E73" s="2" t="s">
        <v>572</v>
      </c>
      <c r="F73" s="87" t="s">
        <v>568</v>
      </c>
      <c r="G73" s="87" t="s">
        <v>538</v>
      </c>
      <c r="H73" s="2">
        <v>1</v>
      </c>
      <c r="I73" s="2" t="s">
        <v>1135</v>
      </c>
      <c r="J73" s="2" t="s">
        <v>617</v>
      </c>
      <c r="K73" s="2" t="s">
        <v>5</v>
      </c>
    </row>
    <row r="74" spans="1:11" s="4" customFormat="1" ht="135" x14ac:dyDescent="0.25">
      <c r="A74" s="174">
        <v>49</v>
      </c>
      <c r="B74" s="174" t="s">
        <v>250</v>
      </c>
      <c r="C74" s="174" t="s">
        <v>565</v>
      </c>
      <c r="D74" s="174">
        <v>1</v>
      </c>
      <c r="E74" s="174" t="s">
        <v>572</v>
      </c>
      <c r="F74" s="174" t="s">
        <v>568</v>
      </c>
      <c r="G74" s="174" t="s">
        <v>538</v>
      </c>
      <c r="H74" s="2">
        <v>1</v>
      </c>
      <c r="I74" s="2" t="s">
        <v>1135</v>
      </c>
      <c r="J74" s="2" t="s">
        <v>617</v>
      </c>
      <c r="K74" s="2" t="s">
        <v>5</v>
      </c>
    </row>
    <row r="75" spans="1:11" s="4" customFormat="1" ht="45" x14ac:dyDescent="0.25">
      <c r="A75" s="175"/>
      <c r="B75" s="175"/>
      <c r="C75" s="175"/>
      <c r="D75" s="175"/>
      <c r="E75" s="175"/>
      <c r="F75" s="175"/>
      <c r="G75" s="175"/>
      <c r="H75" s="2">
        <v>2</v>
      </c>
      <c r="I75" s="2" t="s">
        <v>1043</v>
      </c>
      <c r="J75" s="2" t="s">
        <v>617</v>
      </c>
      <c r="K75" s="2" t="s">
        <v>5</v>
      </c>
    </row>
    <row r="76" spans="1:11" s="4" customFormat="1" ht="45" x14ac:dyDescent="0.25">
      <c r="A76" s="174">
        <v>50</v>
      </c>
      <c r="B76" s="174" t="s">
        <v>288</v>
      </c>
      <c r="C76" s="174" t="s">
        <v>565</v>
      </c>
      <c r="D76" s="174">
        <v>32</v>
      </c>
      <c r="E76" s="174" t="s">
        <v>572</v>
      </c>
      <c r="F76" s="174" t="s">
        <v>571</v>
      </c>
      <c r="G76" s="174" t="s">
        <v>753</v>
      </c>
      <c r="H76" s="2">
        <v>1</v>
      </c>
      <c r="I76" s="2" t="s">
        <v>754</v>
      </c>
      <c r="J76" s="2" t="s">
        <v>617</v>
      </c>
      <c r="K76" s="2" t="s">
        <v>5</v>
      </c>
    </row>
    <row r="77" spans="1:11" s="4" customFormat="1" ht="75" x14ac:dyDescent="0.25">
      <c r="A77" s="179"/>
      <c r="B77" s="179"/>
      <c r="C77" s="179"/>
      <c r="D77" s="179"/>
      <c r="E77" s="179"/>
      <c r="F77" s="179"/>
      <c r="G77" s="179"/>
      <c r="H77" s="2">
        <v>2</v>
      </c>
      <c r="I77" s="2" t="s">
        <v>752</v>
      </c>
      <c r="J77" s="2" t="s">
        <v>617</v>
      </c>
      <c r="K77" s="2" t="s">
        <v>5</v>
      </c>
    </row>
    <row r="78" spans="1:11" s="4" customFormat="1" ht="60" x14ac:dyDescent="0.25">
      <c r="A78" s="179"/>
      <c r="B78" s="179"/>
      <c r="C78" s="179"/>
      <c r="D78" s="179"/>
      <c r="E78" s="179"/>
      <c r="F78" s="179"/>
      <c r="G78" s="179"/>
      <c r="H78" s="2">
        <v>3</v>
      </c>
      <c r="I78" s="2" t="s">
        <v>751</v>
      </c>
      <c r="J78" s="2" t="s">
        <v>617</v>
      </c>
      <c r="K78" s="2" t="s">
        <v>5</v>
      </c>
    </row>
    <row r="79" spans="1:11" s="4" customFormat="1" ht="45" x14ac:dyDescent="0.25">
      <c r="A79" s="179"/>
      <c r="B79" s="179"/>
      <c r="C79" s="179"/>
      <c r="D79" s="179"/>
      <c r="E79" s="179"/>
      <c r="F79" s="179"/>
      <c r="G79" s="179"/>
      <c r="H79" s="2">
        <v>4</v>
      </c>
      <c r="I79" s="2" t="s">
        <v>943</v>
      </c>
      <c r="J79" s="2" t="s">
        <v>232</v>
      </c>
      <c r="K79" s="2" t="s">
        <v>672</v>
      </c>
    </row>
    <row r="80" spans="1:11" s="4" customFormat="1" ht="45" x14ac:dyDescent="0.25">
      <c r="A80" s="175"/>
      <c r="B80" s="175"/>
      <c r="C80" s="175"/>
      <c r="D80" s="175"/>
      <c r="E80" s="175"/>
      <c r="F80" s="175"/>
      <c r="G80" s="175"/>
      <c r="H80" s="2">
        <v>5</v>
      </c>
      <c r="I80" s="2" t="s">
        <v>944</v>
      </c>
      <c r="J80" s="2" t="s">
        <v>232</v>
      </c>
      <c r="K80" s="2" t="s">
        <v>672</v>
      </c>
    </row>
    <row r="81" spans="1:11" s="4" customFormat="1" ht="170.25" customHeight="1" x14ac:dyDescent="0.25">
      <c r="A81" s="2">
        <v>51</v>
      </c>
      <c r="B81" s="2" t="s">
        <v>352</v>
      </c>
      <c r="C81" s="2" t="s">
        <v>565</v>
      </c>
      <c r="D81" s="2">
        <v>3</v>
      </c>
      <c r="E81" s="2" t="s">
        <v>573</v>
      </c>
      <c r="F81" s="87" t="s">
        <v>568</v>
      </c>
      <c r="G81" s="87" t="s">
        <v>1218</v>
      </c>
      <c r="H81" s="2">
        <v>1</v>
      </c>
      <c r="I81" s="2" t="s">
        <v>869</v>
      </c>
      <c r="J81" s="2" t="s">
        <v>617</v>
      </c>
      <c r="K81" s="2" t="s">
        <v>5</v>
      </c>
    </row>
    <row r="82" spans="1:11" s="4" customFormat="1" ht="90" x14ac:dyDescent="0.25">
      <c r="A82" s="2">
        <v>52</v>
      </c>
      <c r="B82" s="2" t="s">
        <v>17</v>
      </c>
      <c r="C82" s="2" t="s">
        <v>565</v>
      </c>
      <c r="D82" s="2">
        <v>8</v>
      </c>
      <c r="E82" s="2" t="s">
        <v>572</v>
      </c>
      <c r="F82" s="87" t="s">
        <v>567</v>
      </c>
      <c r="G82" s="87" t="s">
        <v>760</v>
      </c>
      <c r="H82" s="2">
        <v>1</v>
      </c>
      <c r="I82" s="110" t="s">
        <v>1279</v>
      </c>
      <c r="J82" s="2" t="s">
        <v>617</v>
      </c>
      <c r="K82" s="2" t="s">
        <v>5</v>
      </c>
    </row>
    <row r="83" spans="1:11" s="4" customFormat="1" ht="60" x14ac:dyDescent="0.25">
      <c r="A83" s="2">
        <v>53</v>
      </c>
      <c r="B83" s="2" t="s">
        <v>251</v>
      </c>
      <c r="C83" s="2" t="s">
        <v>565</v>
      </c>
      <c r="D83" s="2">
        <v>7</v>
      </c>
      <c r="E83" s="2" t="s">
        <v>572</v>
      </c>
      <c r="F83" s="87" t="s">
        <v>567</v>
      </c>
      <c r="G83" s="87" t="s">
        <v>761</v>
      </c>
      <c r="H83" s="2">
        <v>1</v>
      </c>
      <c r="I83" s="2" t="s">
        <v>945</v>
      </c>
      <c r="J83" s="2" t="s">
        <v>617</v>
      </c>
      <c r="K83" s="2" t="s">
        <v>5</v>
      </c>
    </row>
    <row r="84" spans="1:11" s="4" customFormat="1" ht="45" x14ac:dyDescent="0.25">
      <c r="A84" s="174">
        <v>54</v>
      </c>
      <c r="B84" s="174" t="s">
        <v>252</v>
      </c>
      <c r="C84" s="174" t="s">
        <v>523</v>
      </c>
      <c r="D84" s="174">
        <v>1</v>
      </c>
      <c r="E84" s="174" t="s">
        <v>572</v>
      </c>
      <c r="F84" s="174" t="s">
        <v>568</v>
      </c>
      <c r="G84" s="174" t="s">
        <v>534</v>
      </c>
      <c r="H84" s="2">
        <v>1</v>
      </c>
      <c r="I84" s="110" t="s">
        <v>1239</v>
      </c>
      <c r="J84" s="2" t="s">
        <v>617</v>
      </c>
      <c r="K84" s="2" t="s">
        <v>5</v>
      </c>
    </row>
    <row r="85" spans="1:11" s="4" customFormat="1" ht="60" x14ac:dyDescent="0.25">
      <c r="A85" s="175"/>
      <c r="B85" s="175"/>
      <c r="C85" s="175"/>
      <c r="D85" s="175"/>
      <c r="E85" s="175"/>
      <c r="F85" s="175"/>
      <c r="G85" s="175"/>
      <c r="H85" s="2">
        <v>2</v>
      </c>
      <c r="I85" s="2" t="s">
        <v>946</v>
      </c>
      <c r="J85" s="2" t="s">
        <v>232</v>
      </c>
      <c r="K85" s="2" t="s">
        <v>672</v>
      </c>
    </row>
    <row r="86" spans="1:11" s="16" customFormat="1" ht="60" x14ac:dyDescent="0.25">
      <c r="A86" s="174">
        <v>55</v>
      </c>
      <c r="B86" s="174" t="s">
        <v>327</v>
      </c>
      <c r="C86" s="174" t="s">
        <v>523</v>
      </c>
      <c r="D86" s="174">
        <v>1</v>
      </c>
      <c r="E86" s="174" t="s">
        <v>572</v>
      </c>
      <c r="F86" s="174" t="s">
        <v>568</v>
      </c>
      <c r="G86" s="174" t="s">
        <v>535</v>
      </c>
      <c r="H86" s="16">
        <v>1</v>
      </c>
      <c r="I86" s="16" t="s">
        <v>870</v>
      </c>
      <c r="J86" s="16" t="s">
        <v>617</v>
      </c>
      <c r="K86" s="16" t="s">
        <v>5</v>
      </c>
    </row>
    <row r="87" spans="1:11" s="4" customFormat="1" ht="54.75" customHeight="1" x14ac:dyDescent="0.25">
      <c r="A87" s="175"/>
      <c r="B87" s="175"/>
      <c r="C87" s="175"/>
      <c r="D87" s="175"/>
      <c r="E87" s="175"/>
      <c r="F87" s="175"/>
      <c r="G87" s="175"/>
      <c r="H87" s="2">
        <v>2</v>
      </c>
      <c r="I87" s="2" t="s">
        <v>947</v>
      </c>
      <c r="J87" s="2" t="s">
        <v>617</v>
      </c>
      <c r="K87" s="2" t="s">
        <v>5</v>
      </c>
    </row>
    <row r="88" spans="1:11" s="4" customFormat="1" ht="60" x14ac:dyDescent="0.25">
      <c r="A88" s="174">
        <v>56</v>
      </c>
      <c r="B88" s="174" t="s">
        <v>325</v>
      </c>
      <c r="C88" s="174" t="s">
        <v>565</v>
      </c>
      <c r="D88" s="174">
        <v>1</v>
      </c>
      <c r="E88" s="174" t="s">
        <v>572</v>
      </c>
      <c r="F88" s="174" t="s">
        <v>568</v>
      </c>
      <c r="G88" s="174" t="s">
        <v>758</v>
      </c>
      <c r="H88" s="2">
        <v>1</v>
      </c>
      <c r="I88" s="2" t="s">
        <v>757</v>
      </c>
      <c r="J88" s="2" t="s">
        <v>617</v>
      </c>
      <c r="K88" s="2" t="s">
        <v>5</v>
      </c>
    </row>
    <row r="89" spans="1:11" s="4" customFormat="1" ht="60" x14ac:dyDescent="0.25">
      <c r="A89" s="175"/>
      <c r="B89" s="175"/>
      <c r="C89" s="175"/>
      <c r="D89" s="175"/>
      <c r="E89" s="175"/>
      <c r="F89" s="175"/>
      <c r="G89" s="175"/>
      <c r="H89" s="2">
        <v>2</v>
      </c>
      <c r="I89" s="2" t="s">
        <v>781</v>
      </c>
      <c r="J89" s="2" t="s">
        <v>232</v>
      </c>
      <c r="K89" s="2" t="s">
        <v>672</v>
      </c>
    </row>
    <row r="90" spans="1:11" s="4" customFormat="1" ht="90" x14ac:dyDescent="0.25">
      <c r="A90" s="2">
        <v>57</v>
      </c>
      <c r="B90" s="2" t="s">
        <v>253</v>
      </c>
      <c r="C90" s="2" t="s">
        <v>565</v>
      </c>
      <c r="D90" s="2">
        <v>1</v>
      </c>
      <c r="E90" s="2" t="s">
        <v>572</v>
      </c>
      <c r="F90" s="87" t="s">
        <v>568</v>
      </c>
      <c r="G90" s="87" t="s">
        <v>762</v>
      </c>
      <c r="H90" s="2">
        <v>1</v>
      </c>
      <c r="I90" s="2" t="s">
        <v>759</v>
      </c>
      <c r="J90" s="2" t="s">
        <v>617</v>
      </c>
      <c r="K90" s="2" t="s">
        <v>5</v>
      </c>
    </row>
    <row r="91" spans="1:11" s="4" customFormat="1" ht="75" x14ac:dyDescent="0.25">
      <c r="A91" s="2">
        <v>58</v>
      </c>
      <c r="B91" s="2" t="s">
        <v>254</v>
      </c>
      <c r="C91" s="2" t="s">
        <v>565</v>
      </c>
      <c r="D91" s="2">
        <v>8</v>
      </c>
      <c r="E91" s="2" t="s">
        <v>572</v>
      </c>
      <c r="F91" s="87" t="s">
        <v>571</v>
      </c>
      <c r="G91" s="87" t="s">
        <v>766</v>
      </c>
      <c r="H91" s="2">
        <v>1</v>
      </c>
      <c r="I91" s="2" t="s">
        <v>764</v>
      </c>
      <c r="J91" s="2" t="s">
        <v>617</v>
      </c>
      <c r="K91" s="2" t="s">
        <v>5</v>
      </c>
    </row>
    <row r="92" spans="1:11" s="4" customFormat="1" ht="90" x14ac:dyDescent="0.25">
      <c r="A92" s="2">
        <v>59</v>
      </c>
      <c r="B92" s="2" t="s">
        <v>341</v>
      </c>
      <c r="C92" s="2" t="s">
        <v>565</v>
      </c>
      <c r="D92" s="2">
        <v>4</v>
      </c>
      <c r="E92" s="2" t="s">
        <v>572</v>
      </c>
      <c r="F92" s="87" t="s">
        <v>567</v>
      </c>
      <c r="G92" s="87" t="s">
        <v>555</v>
      </c>
      <c r="H92" s="2">
        <v>1</v>
      </c>
      <c r="I92" s="2" t="s">
        <v>948</v>
      </c>
      <c r="J92" s="2" t="s">
        <v>617</v>
      </c>
      <c r="K92" s="2" t="s">
        <v>5</v>
      </c>
    </row>
    <row r="93" spans="1:11" s="4" customFormat="1" ht="60" x14ac:dyDescent="0.25">
      <c r="A93" s="2">
        <v>60</v>
      </c>
      <c r="B93" s="2" t="s">
        <v>289</v>
      </c>
      <c r="C93" s="2" t="s">
        <v>565</v>
      </c>
      <c r="D93" s="2">
        <v>7</v>
      </c>
      <c r="E93" s="2" t="s">
        <v>573</v>
      </c>
      <c r="F93" s="87" t="s">
        <v>567</v>
      </c>
      <c r="G93" s="87" t="s">
        <v>767</v>
      </c>
      <c r="H93" s="2">
        <v>1</v>
      </c>
      <c r="I93" s="2" t="s">
        <v>780</v>
      </c>
      <c r="J93" s="2" t="s">
        <v>617</v>
      </c>
      <c r="K93" s="2" t="s">
        <v>5</v>
      </c>
    </row>
    <row r="94" spans="1:11" s="4" customFormat="1" ht="90" x14ac:dyDescent="0.25">
      <c r="A94" s="2">
        <v>61</v>
      </c>
      <c r="B94" s="2" t="s">
        <v>255</v>
      </c>
      <c r="C94" s="2" t="s">
        <v>565</v>
      </c>
      <c r="D94" s="2">
        <v>8</v>
      </c>
      <c r="E94" s="2" t="s">
        <v>572</v>
      </c>
      <c r="F94" s="87" t="s">
        <v>571</v>
      </c>
      <c r="G94" s="87" t="s">
        <v>766</v>
      </c>
      <c r="H94" s="2">
        <v>1</v>
      </c>
      <c r="I94" s="2" t="s">
        <v>763</v>
      </c>
      <c r="J94" s="2" t="s">
        <v>617</v>
      </c>
      <c r="K94" s="2" t="s">
        <v>5</v>
      </c>
    </row>
    <row r="95" spans="1:11" s="4" customFormat="1" ht="90" x14ac:dyDescent="0.25">
      <c r="A95" s="2">
        <v>62</v>
      </c>
      <c r="B95" s="2" t="s">
        <v>340</v>
      </c>
      <c r="C95" s="2" t="s">
        <v>565</v>
      </c>
      <c r="D95" s="2">
        <v>4</v>
      </c>
      <c r="E95" s="2" t="s">
        <v>572</v>
      </c>
      <c r="F95" s="87" t="s">
        <v>567</v>
      </c>
      <c r="G95" s="87" t="s">
        <v>555</v>
      </c>
      <c r="H95" s="2">
        <v>1</v>
      </c>
      <c r="I95" s="2" t="s">
        <v>949</v>
      </c>
      <c r="J95" s="2" t="s">
        <v>617</v>
      </c>
      <c r="K95" s="2" t="s">
        <v>5</v>
      </c>
    </row>
    <row r="96" spans="1:11" s="4" customFormat="1" ht="60" x14ac:dyDescent="0.25">
      <c r="A96" s="2">
        <v>63</v>
      </c>
      <c r="B96" s="2" t="s">
        <v>290</v>
      </c>
      <c r="C96" s="2" t="s">
        <v>565</v>
      </c>
      <c r="D96" s="2">
        <v>7</v>
      </c>
      <c r="E96" s="2" t="s">
        <v>573</v>
      </c>
      <c r="F96" s="87" t="s">
        <v>567</v>
      </c>
      <c r="G96" s="87" t="s">
        <v>767</v>
      </c>
      <c r="H96" s="2">
        <v>1</v>
      </c>
      <c r="I96" s="2" t="s">
        <v>780</v>
      </c>
      <c r="J96" s="2" t="s">
        <v>617</v>
      </c>
      <c r="K96" s="2" t="s">
        <v>5</v>
      </c>
    </row>
    <row r="97" spans="1:11" s="4" customFormat="1" ht="105" x14ac:dyDescent="0.25">
      <c r="A97" s="2">
        <v>64</v>
      </c>
      <c r="B97" s="2" t="s">
        <v>256</v>
      </c>
      <c r="C97" s="2" t="s">
        <v>565</v>
      </c>
      <c r="D97" s="2">
        <v>8</v>
      </c>
      <c r="E97" s="2" t="s">
        <v>572</v>
      </c>
      <c r="F97" s="87" t="s">
        <v>571</v>
      </c>
      <c r="G97" s="87" t="s">
        <v>766</v>
      </c>
      <c r="H97" s="2">
        <v>1</v>
      </c>
      <c r="I97" s="2" t="s">
        <v>765</v>
      </c>
      <c r="J97" s="2" t="s">
        <v>617</v>
      </c>
      <c r="K97" s="2" t="s">
        <v>5</v>
      </c>
    </row>
    <row r="98" spans="1:11" s="4" customFormat="1" ht="90" x14ac:dyDescent="0.25">
      <c r="A98" s="2">
        <v>65</v>
      </c>
      <c r="B98" s="2" t="s">
        <v>342</v>
      </c>
      <c r="C98" s="2" t="s">
        <v>565</v>
      </c>
      <c r="D98" s="2">
        <v>4</v>
      </c>
      <c r="E98" s="2" t="s">
        <v>572</v>
      </c>
      <c r="F98" s="87" t="s">
        <v>567</v>
      </c>
      <c r="G98" s="87" t="s">
        <v>555</v>
      </c>
      <c r="H98" s="2">
        <v>1</v>
      </c>
      <c r="I98" s="2" t="s">
        <v>950</v>
      </c>
      <c r="J98" s="2" t="s">
        <v>617</v>
      </c>
      <c r="K98" s="2" t="s">
        <v>5</v>
      </c>
    </row>
    <row r="99" spans="1:11" s="4" customFormat="1" ht="60" x14ac:dyDescent="0.25">
      <c r="A99" s="2">
        <v>66</v>
      </c>
      <c r="B99" s="2" t="s">
        <v>291</v>
      </c>
      <c r="C99" s="2" t="s">
        <v>565</v>
      </c>
      <c r="D99" s="2">
        <v>7</v>
      </c>
      <c r="E99" s="2" t="s">
        <v>573</v>
      </c>
      <c r="F99" s="87" t="s">
        <v>567</v>
      </c>
      <c r="G99" s="87" t="s">
        <v>767</v>
      </c>
      <c r="H99" s="2">
        <v>1</v>
      </c>
      <c r="I99" s="2" t="s">
        <v>780</v>
      </c>
      <c r="J99" s="2" t="s">
        <v>617</v>
      </c>
      <c r="K99" s="2" t="s">
        <v>5</v>
      </c>
    </row>
    <row r="100" spans="1:11" s="15" customFormat="1" ht="93.6" x14ac:dyDescent="0.25">
      <c r="A100" s="88" t="s">
        <v>446</v>
      </c>
      <c r="B100" s="176" t="s">
        <v>313</v>
      </c>
      <c r="C100" s="177"/>
      <c r="D100" s="177"/>
      <c r="E100" s="177"/>
      <c r="F100" s="177"/>
      <c r="G100" s="178"/>
      <c r="H100" s="2">
        <v>1</v>
      </c>
      <c r="I100" s="88" t="s">
        <v>768</v>
      </c>
      <c r="J100" s="2" t="s">
        <v>617</v>
      </c>
      <c r="K100" s="2" t="s">
        <v>5</v>
      </c>
    </row>
    <row r="101" spans="1:11" s="4" customFormat="1" ht="60" x14ac:dyDescent="0.25">
      <c r="A101" s="2">
        <v>67</v>
      </c>
      <c r="B101" s="2" t="s">
        <v>258</v>
      </c>
      <c r="C101" s="2" t="s">
        <v>565</v>
      </c>
      <c r="D101" s="2">
        <v>2</v>
      </c>
      <c r="E101" s="2" t="s">
        <v>573</v>
      </c>
      <c r="F101" s="87" t="s">
        <v>567</v>
      </c>
      <c r="G101" s="87" t="s">
        <v>772</v>
      </c>
      <c r="H101" s="2">
        <v>1</v>
      </c>
      <c r="I101" s="2" t="s">
        <v>769</v>
      </c>
      <c r="J101" s="2" t="s">
        <v>617</v>
      </c>
      <c r="K101" s="2" t="s">
        <v>5</v>
      </c>
    </row>
    <row r="102" spans="1:11" s="4" customFormat="1" ht="90" x14ac:dyDescent="0.25">
      <c r="A102" s="2">
        <v>68</v>
      </c>
      <c r="B102" s="2" t="s">
        <v>259</v>
      </c>
      <c r="C102" s="2" t="s">
        <v>565</v>
      </c>
      <c r="D102" s="2">
        <v>2</v>
      </c>
      <c r="E102" s="2" t="s">
        <v>573</v>
      </c>
      <c r="F102" s="87" t="s">
        <v>567</v>
      </c>
      <c r="G102" s="87" t="s">
        <v>772</v>
      </c>
      <c r="H102" s="2">
        <v>1</v>
      </c>
      <c r="I102" s="2" t="s">
        <v>770</v>
      </c>
      <c r="J102" s="2" t="s">
        <v>617</v>
      </c>
      <c r="K102" s="2" t="s">
        <v>5</v>
      </c>
    </row>
    <row r="103" spans="1:11" s="4" customFormat="1" ht="120" x14ac:dyDescent="0.25">
      <c r="A103" s="2">
        <v>69</v>
      </c>
      <c r="B103" s="2" t="s">
        <v>260</v>
      </c>
      <c r="C103" s="2" t="s">
        <v>565</v>
      </c>
      <c r="D103" s="2">
        <v>2</v>
      </c>
      <c r="E103" s="2" t="s">
        <v>573</v>
      </c>
      <c r="F103" s="87" t="s">
        <v>567</v>
      </c>
      <c r="G103" s="87" t="s">
        <v>772</v>
      </c>
      <c r="H103" s="2">
        <v>1</v>
      </c>
      <c r="I103" s="2" t="s">
        <v>771</v>
      </c>
      <c r="J103" s="2" t="s">
        <v>617</v>
      </c>
      <c r="K103" s="2" t="s">
        <v>5</v>
      </c>
    </row>
    <row r="104" spans="1:11" s="15" customFormat="1" ht="109.2" x14ac:dyDescent="0.25">
      <c r="A104" s="174" t="s">
        <v>447</v>
      </c>
      <c r="B104" s="188" t="s">
        <v>261</v>
      </c>
      <c r="C104" s="189"/>
      <c r="D104" s="189"/>
      <c r="E104" s="189"/>
      <c r="F104" s="189"/>
      <c r="G104" s="190"/>
      <c r="H104" s="88">
        <v>1</v>
      </c>
      <c r="I104" s="88" t="s">
        <v>1233</v>
      </c>
      <c r="J104" s="88" t="s">
        <v>617</v>
      </c>
      <c r="K104" s="88" t="s">
        <v>5</v>
      </c>
    </row>
    <row r="105" spans="1:11" s="15" customFormat="1" ht="78" x14ac:dyDescent="0.25">
      <c r="A105" s="175"/>
      <c r="B105" s="191"/>
      <c r="C105" s="192"/>
      <c r="D105" s="192"/>
      <c r="E105" s="192"/>
      <c r="F105" s="192"/>
      <c r="G105" s="193"/>
      <c r="H105" s="88">
        <v>2</v>
      </c>
      <c r="I105" s="88" t="s">
        <v>871</v>
      </c>
      <c r="J105" s="88" t="s">
        <v>617</v>
      </c>
      <c r="K105" s="88" t="s">
        <v>5</v>
      </c>
    </row>
    <row r="106" spans="1:11" s="4" customFormat="1" ht="45" x14ac:dyDescent="0.25">
      <c r="A106" s="2">
        <v>70</v>
      </c>
      <c r="B106" s="2" t="s">
        <v>356</v>
      </c>
      <c r="C106" s="2" t="s">
        <v>565</v>
      </c>
      <c r="D106" s="2">
        <v>1</v>
      </c>
      <c r="E106" s="2" t="s">
        <v>572</v>
      </c>
      <c r="F106" s="87" t="s">
        <v>568</v>
      </c>
      <c r="G106" s="87" t="s">
        <v>773</v>
      </c>
      <c r="H106" s="2">
        <v>1</v>
      </c>
      <c r="I106" s="2" t="s">
        <v>872</v>
      </c>
      <c r="J106" s="2" t="s">
        <v>617</v>
      </c>
      <c r="K106" s="2" t="s">
        <v>5</v>
      </c>
    </row>
    <row r="107" spans="1:11" s="4" customFormat="1" ht="75" x14ac:dyDescent="0.25">
      <c r="A107" s="2">
        <v>71</v>
      </c>
      <c r="B107" s="2" t="s">
        <v>355</v>
      </c>
      <c r="C107" s="2" t="s">
        <v>565</v>
      </c>
      <c r="D107" s="2">
        <v>2</v>
      </c>
      <c r="E107" s="2" t="s">
        <v>573</v>
      </c>
      <c r="F107" s="87" t="s">
        <v>567</v>
      </c>
      <c r="G107" s="87" t="s">
        <v>774</v>
      </c>
      <c r="H107" s="2">
        <v>1</v>
      </c>
      <c r="I107" s="2" t="s">
        <v>775</v>
      </c>
      <c r="J107" s="2" t="s">
        <v>617</v>
      </c>
      <c r="K107" s="2" t="s">
        <v>5</v>
      </c>
    </row>
    <row r="108" spans="1:11" s="4" customFormat="1" ht="90" x14ac:dyDescent="0.25">
      <c r="A108" s="2">
        <v>72</v>
      </c>
      <c r="B108" s="2" t="s">
        <v>354</v>
      </c>
      <c r="C108" s="2" t="s">
        <v>565</v>
      </c>
      <c r="D108" s="2">
        <v>4</v>
      </c>
      <c r="E108" s="2" t="s">
        <v>572</v>
      </c>
      <c r="F108" s="87" t="s">
        <v>567</v>
      </c>
      <c r="G108" s="87" t="s">
        <v>555</v>
      </c>
      <c r="H108" s="2">
        <v>1</v>
      </c>
      <c r="I108" s="2" t="s">
        <v>778</v>
      </c>
      <c r="J108" s="2" t="s">
        <v>617</v>
      </c>
      <c r="K108" s="2" t="s">
        <v>5</v>
      </c>
    </row>
    <row r="109" spans="1:11" s="4" customFormat="1" ht="45" x14ac:dyDescent="0.25">
      <c r="A109" s="2">
        <v>73</v>
      </c>
      <c r="B109" s="2" t="s">
        <v>360</v>
      </c>
      <c r="C109" s="2" t="s">
        <v>565</v>
      </c>
      <c r="D109" s="2">
        <v>1</v>
      </c>
      <c r="E109" s="2" t="s">
        <v>572</v>
      </c>
      <c r="F109" s="87" t="s">
        <v>568</v>
      </c>
      <c r="G109" s="87" t="s">
        <v>773</v>
      </c>
      <c r="H109" s="2">
        <v>1</v>
      </c>
      <c r="I109" s="2" t="s">
        <v>872</v>
      </c>
      <c r="J109" s="2" t="s">
        <v>617</v>
      </c>
      <c r="K109" s="2" t="s">
        <v>5</v>
      </c>
    </row>
    <row r="110" spans="1:11" s="4" customFormat="1" ht="75" x14ac:dyDescent="0.25">
      <c r="A110" s="2">
        <v>74</v>
      </c>
      <c r="B110" s="2" t="s">
        <v>361</v>
      </c>
      <c r="C110" s="2" t="s">
        <v>565</v>
      </c>
      <c r="D110" s="2">
        <v>2</v>
      </c>
      <c r="E110" s="2" t="s">
        <v>573</v>
      </c>
      <c r="F110" s="87" t="s">
        <v>567</v>
      </c>
      <c r="G110" s="87" t="s">
        <v>774</v>
      </c>
      <c r="H110" s="2">
        <v>1</v>
      </c>
      <c r="I110" s="2" t="s">
        <v>873</v>
      </c>
      <c r="J110" s="2" t="s">
        <v>617</v>
      </c>
      <c r="K110" s="2" t="s">
        <v>5</v>
      </c>
    </row>
    <row r="111" spans="1:11" s="4" customFormat="1" ht="90" x14ac:dyDescent="0.25">
      <c r="A111" s="2">
        <v>75</v>
      </c>
      <c r="B111" s="2" t="s">
        <v>362</v>
      </c>
      <c r="C111" s="2" t="s">
        <v>565</v>
      </c>
      <c r="D111" s="2">
        <v>4</v>
      </c>
      <c r="E111" s="2" t="s">
        <v>572</v>
      </c>
      <c r="F111" s="87" t="s">
        <v>567</v>
      </c>
      <c r="G111" s="87" t="s">
        <v>555</v>
      </c>
      <c r="H111" s="2">
        <v>1</v>
      </c>
      <c r="I111" s="2" t="s">
        <v>875</v>
      </c>
      <c r="J111" s="2" t="s">
        <v>617</v>
      </c>
      <c r="K111" s="2" t="s">
        <v>5</v>
      </c>
    </row>
    <row r="112" spans="1:11" s="4" customFormat="1" ht="45" x14ac:dyDescent="0.25">
      <c r="A112" s="2">
        <v>76</v>
      </c>
      <c r="B112" s="2" t="s">
        <v>363</v>
      </c>
      <c r="C112" s="2" t="s">
        <v>565</v>
      </c>
      <c r="D112" s="2">
        <v>1</v>
      </c>
      <c r="E112" s="2" t="s">
        <v>572</v>
      </c>
      <c r="F112" s="87" t="s">
        <v>568</v>
      </c>
      <c r="G112" s="87" t="s">
        <v>773</v>
      </c>
      <c r="H112" s="2">
        <v>1</v>
      </c>
      <c r="I112" s="2" t="s">
        <v>872</v>
      </c>
      <c r="J112" s="2" t="s">
        <v>617</v>
      </c>
      <c r="K112" s="2" t="s">
        <v>5</v>
      </c>
    </row>
    <row r="113" spans="1:11" s="4" customFormat="1" ht="75" x14ac:dyDescent="0.25">
      <c r="A113" s="2">
        <v>77</v>
      </c>
      <c r="B113" s="2" t="s">
        <v>364</v>
      </c>
      <c r="C113" s="2" t="s">
        <v>565</v>
      </c>
      <c r="D113" s="2">
        <v>2</v>
      </c>
      <c r="E113" s="2" t="s">
        <v>573</v>
      </c>
      <c r="F113" s="87" t="s">
        <v>567</v>
      </c>
      <c r="G113" s="87" t="s">
        <v>774</v>
      </c>
      <c r="H113" s="2">
        <v>1</v>
      </c>
      <c r="I113" s="2" t="s">
        <v>876</v>
      </c>
      <c r="J113" s="2" t="s">
        <v>617</v>
      </c>
      <c r="K113" s="2" t="s">
        <v>5</v>
      </c>
    </row>
    <row r="114" spans="1:11" s="4" customFormat="1" ht="90" x14ac:dyDescent="0.25">
      <c r="A114" s="2">
        <v>78</v>
      </c>
      <c r="B114" s="2" t="s">
        <v>365</v>
      </c>
      <c r="C114" s="2" t="s">
        <v>565</v>
      </c>
      <c r="D114" s="2">
        <v>4</v>
      </c>
      <c r="E114" s="2" t="s">
        <v>572</v>
      </c>
      <c r="F114" s="87" t="s">
        <v>567</v>
      </c>
      <c r="G114" s="87" t="s">
        <v>555</v>
      </c>
      <c r="H114" s="2">
        <v>1</v>
      </c>
      <c r="I114" s="2" t="s">
        <v>877</v>
      </c>
      <c r="J114" s="2" t="s">
        <v>617</v>
      </c>
      <c r="K114" s="2" t="s">
        <v>5</v>
      </c>
    </row>
    <row r="115" spans="1:11" s="4" customFormat="1" ht="45" x14ac:dyDescent="0.25">
      <c r="A115" s="2">
        <v>79</v>
      </c>
      <c r="B115" s="2" t="s">
        <v>366</v>
      </c>
      <c r="C115" s="2" t="s">
        <v>565</v>
      </c>
      <c r="D115" s="2">
        <v>1</v>
      </c>
      <c r="E115" s="2" t="s">
        <v>572</v>
      </c>
      <c r="F115" s="87" t="s">
        <v>568</v>
      </c>
      <c r="G115" s="87" t="s">
        <v>773</v>
      </c>
      <c r="H115" s="2">
        <v>1</v>
      </c>
      <c r="I115" s="2" t="s">
        <v>779</v>
      </c>
      <c r="J115" s="2" t="s">
        <v>617</v>
      </c>
      <c r="K115" s="2" t="s">
        <v>5</v>
      </c>
    </row>
    <row r="116" spans="1:11" s="4" customFormat="1" ht="75" x14ac:dyDescent="0.25">
      <c r="A116" s="2">
        <v>80</v>
      </c>
      <c r="B116" s="2" t="s">
        <v>367</v>
      </c>
      <c r="C116" s="2" t="s">
        <v>565</v>
      </c>
      <c r="D116" s="2">
        <v>2</v>
      </c>
      <c r="E116" s="2" t="s">
        <v>573</v>
      </c>
      <c r="F116" s="87" t="s">
        <v>567</v>
      </c>
      <c r="G116" s="87" t="s">
        <v>774</v>
      </c>
      <c r="H116" s="2">
        <v>1</v>
      </c>
      <c r="I116" s="2" t="s">
        <v>874</v>
      </c>
      <c r="J116" s="2" t="s">
        <v>617</v>
      </c>
      <c r="K116" s="2" t="s">
        <v>5</v>
      </c>
    </row>
    <row r="117" spans="1:11" s="4" customFormat="1" ht="90" x14ac:dyDescent="0.25">
      <c r="A117" s="2">
        <v>81</v>
      </c>
      <c r="B117" s="2" t="s">
        <v>368</v>
      </c>
      <c r="C117" s="2" t="s">
        <v>565</v>
      </c>
      <c r="D117" s="2">
        <v>4</v>
      </c>
      <c r="E117" s="2" t="s">
        <v>572</v>
      </c>
      <c r="F117" s="87" t="s">
        <v>567</v>
      </c>
      <c r="G117" s="87" t="s">
        <v>555</v>
      </c>
      <c r="H117" s="2">
        <v>1</v>
      </c>
      <c r="I117" s="2" t="s">
        <v>878</v>
      </c>
      <c r="J117" s="2" t="s">
        <v>617</v>
      </c>
      <c r="K117" s="2" t="s">
        <v>5</v>
      </c>
    </row>
    <row r="118" spans="1:11" s="4" customFormat="1" ht="45" x14ac:dyDescent="0.25">
      <c r="A118" s="2">
        <v>82</v>
      </c>
      <c r="B118" s="2" t="s">
        <v>1100</v>
      </c>
      <c r="C118" s="2" t="s">
        <v>565</v>
      </c>
      <c r="D118" s="2">
        <v>1</v>
      </c>
      <c r="E118" s="2" t="s">
        <v>572</v>
      </c>
      <c r="F118" s="87" t="s">
        <v>568</v>
      </c>
      <c r="G118" s="87" t="s">
        <v>773</v>
      </c>
      <c r="H118" s="2">
        <v>1</v>
      </c>
      <c r="I118" s="2" t="s">
        <v>779</v>
      </c>
      <c r="J118" s="2" t="s">
        <v>617</v>
      </c>
      <c r="K118" s="2" t="s">
        <v>5</v>
      </c>
    </row>
    <row r="119" spans="1:11" s="4" customFormat="1" ht="75" x14ac:dyDescent="0.25">
      <c r="A119" s="2">
        <v>83</v>
      </c>
      <c r="B119" s="2" t="s">
        <v>370</v>
      </c>
      <c r="C119" s="2" t="s">
        <v>565</v>
      </c>
      <c r="D119" s="2">
        <v>2</v>
      </c>
      <c r="E119" s="2" t="s">
        <v>573</v>
      </c>
      <c r="F119" s="87" t="s">
        <v>567</v>
      </c>
      <c r="G119" s="87" t="s">
        <v>774</v>
      </c>
      <c r="H119" s="2">
        <v>1</v>
      </c>
      <c r="I119" s="2" t="s">
        <v>879</v>
      </c>
      <c r="J119" s="2" t="s">
        <v>617</v>
      </c>
      <c r="K119" s="2" t="s">
        <v>5</v>
      </c>
    </row>
    <row r="120" spans="1:11" s="4" customFormat="1" ht="90" x14ac:dyDescent="0.25">
      <c r="A120" s="2">
        <v>84</v>
      </c>
      <c r="B120" s="2" t="s">
        <v>371</v>
      </c>
      <c r="C120" s="2" t="s">
        <v>565</v>
      </c>
      <c r="D120" s="2">
        <v>4</v>
      </c>
      <c r="E120" s="2" t="s">
        <v>572</v>
      </c>
      <c r="F120" s="87" t="s">
        <v>567</v>
      </c>
      <c r="G120" s="87" t="s">
        <v>555</v>
      </c>
      <c r="H120" s="2">
        <v>1</v>
      </c>
      <c r="I120" s="2" t="s">
        <v>880</v>
      </c>
      <c r="J120" s="2" t="s">
        <v>617</v>
      </c>
      <c r="K120" s="2" t="s">
        <v>5</v>
      </c>
    </row>
    <row r="121" spans="1:11" s="4" customFormat="1" ht="45" x14ac:dyDescent="0.25">
      <c r="A121" s="2">
        <v>85</v>
      </c>
      <c r="B121" s="2" t="s">
        <v>359</v>
      </c>
      <c r="C121" s="2" t="s">
        <v>565</v>
      </c>
      <c r="D121" s="2">
        <v>1</v>
      </c>
      <c r="E121" s="2" t="s">
        <v>572</v>
      </c>
      <c r="F121" s="87" t="s">
        <v>568</v>
      </c>
      <c r="G121" s="87" t="s">
        <v>773</v>
      </c>
      <c r="H121" s="2">
        <v>1</v>
      </c>
      <c r="I121" s="2" t="s">
        <v>779</v>
      </c>
      <c r="J121" s="2" t="s">
        <v>617</v>
      </c>
      <c r="K121" s="2" t="s">
        <v>5</v>
      </c>
    </row>
    <row r="122" spans="1:11" s="4" customFormat="1" ht="75" x14ac:dyDescent="0.25">
      <c r="A122" s="2">
        <v>86</v>
      </c>
      <c r="B122" s="2" t="s">
        <v>358</v>
      </c>
      <c r="C122" s="2" t="s">
        <v>565</v>
      </c>
      <c r="D122" s="2">
        <v>2</v>
      </c>
      <c r="E122" s="2" t="s">
        <v>573</v>
      </c>
      <c r="F122" s="87" t="s">
        <v>567</v>
      </c>
      <c r="G122" s="87" t="s">
        <v>774</v>
      </c>
      <c r="H122" s="2">
        <v>1</v>
      </c>
      <c r="I122" s="2" t="s">
        <v>881</v>
      </c>
      <c r="J122" s="2" t="s">
        <v>617</v>
      </c>
      <c r="K122" s="2" t="s">
        <v>5</v>
      </c>
    </row>
    <row r="123" spans="1:11" s="4" customFormat="1" ht="90" x14ac:dyDescent="0.25">
      <c r="A123" s="2">
        <v>87</v>
      </c>
      <c r="B123" s="2" t="s">
        <v>357</v>
      </c>
      <c r="C123" s="2" t="s">
        <v>565</v>
      </c>
      <c r="D123" s="2">
        <v>4</v>
      </c>
      <c r="E123" s="2" t="s">
        <v>572</v>
      </c>
      <c r="F123" s="87" t="s">
        <v>567</v>
      </c>
      <c r="G123" s="87" t="s">
        <v>555</v>
      </c>
      <c r="H123" s="2">
        <v>1</v>
      </c>
      <c r="I123" s="2" t="s">
        <v>882</v>
      </c>
      <c r="J123" s="2" t="s">
        <v>617</v>
      </c>
      <c r="K123" s="2" t="s">
        <v>5</v>
      </c>
    </row>
    <row r="124" spans="1:11" s="4" customFormat="1" ht="60" x14ac:dyDescent="0.25">
      <c r="A124" s="174">
        <v>88</v>
      </c>
      <c r="B124" s="174" t="s">
        <v>262</v>
      </c>
      <c r="C124" s="174" t="s">
        <v>565</v>
      </c>
      <c r="D124" s="174">
        <v>1</v>
      </c>
      <c r="E124" s="174" t="s">
        <v>572</v>
      </c>
      <c r="F124" s="174" t="s">
        <v>568</v>
      </c>
      <c r="G124" s="174" t="s">
        <v>624</v>
      </c>
      <c r="H124" s="2">
        <v>1</v>
      </c>
      <c r="I124" s="2" t="s">
        <v>883</v>
      </c>
      <c r="J124" s="2" t="s">
        <v>617</v>
      </c>
      <c r="K124" s="2" t="s">
        <v>5</v>
      </c>
    </row>
    <row r="125" spans="1:11" s="4" customFormat="1" ht="75" x14ac:dyDescent="0.25">
      <c r="A125" s="175"/>
      <c r="B125" s="175"/>
      <c r="C125" s="175"/>
      <c r="D125" s="175"/>
      <c r="E125" s="175"/>
      <c r="F125" s="175"/>
      <c r="G125" s="175"/>
      <c r="H125" s="2">
        <v>2</v>
      </c>
      <c r="I125" s="2" t="s">
        <v>884</v>
      </c>
      <c r="J125" s="2" t="s">
        <v>232</v>
      </c>
      <c r="K125" s="2" t="s">
        <v>672</v>
      </c>
    </row>
    <row r="126" spans="1:11" s="15" customFormat="1" ht="62.4" x14ac:dyDescent="0.25">
      <c r="A126" s="88" t="s">
        <v>1106</v>
      </c>
      <c r="B126" s="176" t="s">
        <v>263</v>
      </c>
      <c r="C126" s="177"/>
      <c r="D126" s="177"/>
      <c r="E126" s="177"/>
      <c r="F126" s="177"/>
      <c r="G126" s="178"/>
      <c r="H126" s="88">
        <v>1</v>
      </c>
      <c r="I126" s="88" t="str">
        <f>"Pelo menos um dos campos de "&amp;A126&amp;" deve ser 1 quando houver vínculo no registro 40 ou 50, senão devem ser nulos"</f>
        <v>Pelo menos um dos campos de 89 a 109 deve ser 1 quando houver vínculo no registro 40 ou 50, senão devem ser nulos</v>
      </c>
      <c r="J126" s="88" t="s">
        <v>617</v>
      </c>
      <c r="K126" s="88" t="s">
        <v>5</v>
      </c>
    </row>
    <row r="127" spans="1:11" s="4" customFormat="1" ht="30" x14ac:dyDescent="0.25">
      <c r="A127" s="2">
        <v>89</v>
      </c>
      <c r="B127" s="2" t="s">
        <v>264</v>
      </c>
      <c r="C127" s="2" t="s">
        <v>565</v>
      </c>
      <c r="D127" s="2">
        <v>1</v>
      </c>
      <c r="E127" s="2" t="s">
        <v>572</v>
      </c>
      <c r="F127" s="87" t="s">
        <v>568</v>
      </c>
      <c r="G127" s="87" t="s">
        <v>538</v>
      </c>
      <c r="H127" s="2">
        <v>1</v>
      </c>
      <c r="I127" s="2" t="s">
        <v>776</v>
      </c>
      <c r="J127" s="2" t="s">
        <v>617</v>
      </c>
      <c r="K127" s="2" t="s">
        <v>5</v>
      </c>
    </row>
    <row r="128" spans="1:11" s="4" customFormat="1" ht="30" x14ac:dyDescent="0.25">
      <c r="A128" s="2">
        <v>90</v>
      </c>
      <c r="B128" s="2" t="s">
        <v>265</v>
      </c>
      <c r="C128" s="2" t="s">
        <v>565</v>
      </c>
      <c r="D128" s="2">
        <v>1</v>
      </c>
      <c r="E128" s="2" t="s">
        <v>572</v>
      </c>
      <c r="F128" s="87" t="s">
        <v>568</v>
      </c>
      <c r="G128" s="87" t="s">
        <v>538</v>
      </c>
      <c r="H128" s="2">
        <v>1</v>
      </c>
      <c r="I128" s="2" t="s">
        <v>776</v>
      </c>
      <c r="J128" s="2" t="s">
        <v>617</v>
      </c>
      <c r="K128" s="2" t="s">
        <v>5</v>
      </c>
    </row>
    <row r="129" spans="1:11" s="4" customFormat="1" ht="30" x14ac:dyDescent="0.25">
      <c r="A129" s="2">
        <v>91</v>
      </c>
      <c r="B129" s="2" t="s">
        <v>1115</v>
      </c>
      <c r="C129" s="2" t="s">
        <v>565</v>
      </c>
      <c r="D129" s="2">
        <v>1</v>
      </c>
      <c r="E129" s="2" t="s">
        <v>572</v>
      </c>
      <c r="F129" s="87" t="s">
        <v>568</v>
      </c>
      <c r="G129" s="87" t="s">
        <v>538</v>
      </c>
      <c r="H129" s="2">
        <v>1</v>
      </c>
      <c r="I129" s="2" t="s">
        <v>776</v>
      </c>
      <c r="J129" s="2" t="s">
        <v>617</v>
      </c>
      <c r="K129" s="2" t="s">
        <v>5</v>
      </c>
    </row>
    <row r="130" spans="1:11" s="4" customFormat="1" ht="30" x14ac:dyDescent="0.25">
      <c r="A130" s="2">
        <v>92</v>
      </c>
      <c r="B130" s="2" t="s">
        <v>266</v>
      </c>
      <c r="C130" s="2" t="s">
        <v>565</v>
      </c>
      <c r="D130" s="2">
        <v>1</v>
      </c>
      <c r="E130" s="2" t="s">
        <v>572</v>
      </c>
      <c r="F130" s="87" t="s">
        <v>568</v>
      </c>
      <c r="G130" s="87" t="s">
        <v>538</v>
      </c>
      <c r="H130" s="2">
        <v>1</v>
      </c>
      <c r="I130" s="2" t="s">
        <v>776</v>
      </c>
      <c r="J130" s="2" t="s">
        <v>617</v>
      </c>
      <c r="K130" s="2" t="s">
        <v>5</v>
      </c>
    </row>
    <row r="131" spans="1:11" s="4" customFormat="1" ht="30" x14ac:dyDescent="0.25">
      <c r="A131" s="2">
        <v>93</v>
      </c>
      <c r="B131" s="2" t="s">
        <v>267</v>
      </c>
      <c r="C131" s="2" t="s">
        <v>565</v>
      </c>
      <c r="D131" s="2">
        <v>1</v>
      </c>
      <c r="E131" s="2" t="s">
        <v>572</v>
      </c>
      <c r="F131" s="87" t="s">
        <v>568</v>
      </c>
      <c r="G131" s="87" t="s">
        <v>538</v>
      </c>
      <c r="H131" s="2">
        <v>1</v>
      </c>
      <c r="I131" s="2" t="s">
        <v>776</v>
      </c>
      <c r="J131" s="2" t="s">
        <v>617</v>
      </c>
      <c r="K131" s="2" t="s">
        <v>5</v>
      </c>
    </row>
    <row r="132" spans="1:11" s="4" customFormat="1" ht="30" x14ac:dyDescent="0.25">
      <c r="A132" s="2">
        <v>94</v>
      </c>
      <c r="B132" s="2" t="s">
        <v>268</v>
      </c>
      <c r="C132" s="2" t="s">
        <v>565</v>
      </c>
      <c r="D132" s="2">
        <v>1</v>
      </c>
      <c r="E132" s="2" t="s">
        <v>572</v>
      </c>
      <c r="F132" s="87" t="s">
        <v>568</v>
      </c>
      <c r="G132" s="87" t="s">
        <v>538</v>
      </c>
      <c r="H132" s="2">
        <v>1</v>
      </c>
      <c r="I132" s="2" t="s">
        <v>776</v>
      </c>
      <c r="J132" s="2" t="s">
        <v>617</v>
      </c>
      <c r="K132" s="2" t="s">
        <v>5</v>
      </c>
    </row>
    <row r="133" spans="1:11" s="4" customFormat="1" ht="30" x14ac:dyDescent="0.25">
      <c r="A133" s="2">
        <v>95</v>
      </c>
      <c r="B133" s="2" t="s">
        <v>269</v>
      </c>
      <c r="C133" s="2" t="s">
        <v>565</v>
      </c>
      <c r="D133" s="2">
        <v>1</v>
      </c>
      <c r="E133" s="2" t="s">
        <v>572</v>
      </c>
      <c r="F133" s="87" t="s">
        <v>568</v>
      </c>
      <c r="G133" s="87" t="s">
        <v>538</v>
      </c>
      <c r="H133" s="2">
        <v>1</v>
      </c>
      <c r="I133" s="2" t="s">
        <v>776</v>
      </c>
      <c r="J133" s="2" t="s">
        <v>617</v>
      </c>
      <c r="K133" s="2" t="s">
        <v>5</v>
      </c>
    </row>
    <row r="134" spans="1:11" s="4" customFormat="1" ht="30" x14ac:dyDescent="0.25">
      <c r="A134" s="2">
        <v>96</v>
      </c>
      <c r="B134" s="2" t="s">
        <v>311</v>
      </c>
      <c r="C134" s="2" t="s">
        <v>565</v>
      </c>
      <c r="D134" s="2">
        <v>1</v>
      </c>
      <c r="E134" s="2" t="s">
        <v>572</v>
      </c>
      <c r="F134" s="87" t="s">
        <v>568</v>
      </c>
      <c r="G134" s="87" t="s">
        <v>538</v>
      </c>
      <c r="H134" s="2">
        <v>1</v>
      </c>
      <c r="I134" s="2" t="s">
        <v>776</v>
      </c>
      <c r="J134" s="2" t="s">
        <v>617</v>
      </c>
      <c r="K134" s="2" t="s">
        <v>5</v>
      </c>
    </row>
    <row r="135" spans="1:11" s="4" customFormat="1" ht="30" x14ac:dyDescent="0.25">
      <c r="A135" s="2">
        <v>97</v>
      </c>
      <c r="B135" s="2" t="s">
        <v>270</v>
      </c>
      <c r="C135" s="2" t="s">
        <v>565</v>
      </c>
      <c r="D135" s="2">
        <v>1</v>
      </c>
      <c r="E135" s="2" t="s">
        <v>572</v>
      </c>
      <c r="F135" s="87" t="s">
        <v>568</v>
      </c>
      <c r="G135" s="87" t="s">
        <v>538</v>
      </c>
      <c r="H135" s="2">
        <v>1</v>
      </c>
      <c r="I135" s="2" t="s">
        <v>776</v>
      </c>
      <c r="J135" s="2" t="s">
        <v>617</v>
      </c>
      <c r="K135" s="2" t="s">
        <v>5</v>
      </c>
    </row>
    <row r="136" spans="1:11" s="4" customFormat="1" ht="30" x14ac:dyDescent="0.25">
      <c r="A136" s="2">
        <v>98</v>
      </c>
      <c r="B136" s="2" t="s">
        <v>271</v>
      </c>
      <c r="C136" s="2" t="s">
        <v>565</v>
      </c>
      <c r="D136" s="2">
        <v>1</v>
      </c>
      <c r="E136" s="2" t="s">
        <v>572</v>
      </c>
      <c r="F136" s="87" t="s">
        <v>568</v>
      </c>
      <c r="G136" s="87" t="s">
        <v>538</v>
      </c>
      <c r="H136" s="2">
        <v>1</v>
      </c>
      <c r="I136" s="2" t="s">
        <v>776</v>
      </c>
      <c r="J136" s="2" t="s">
        <v>617</v>
      </c>
      <c r="K136" s="2" t="s">
        <v>5</v>
      </c>
    </row>
    <row r="137" spans="1:11" s="4" customFormat="1" ht="30" x14ac:dyDescent="0.25">
      <c r="A137" s="2">
        <v>99</v>
      </c>
      <c r="B137" s="2" t="s">
        <v>272</v>
      </c>
      <c r="C137" s="2" t="s">
        <v>565</v>
      </c>
      <c r="D137" s="2">
        <v>1</v>
      </c>
      <c r="E137" s="2" t="s">
        <v>572</v>
      </c>
      <c r="F137" s="87" t="s">
        <v>568</v>
      </c>
      <c r="G137" s="87" t="s">
        <v>538</v>
      </c>
      <c r="H137" s="2">
        <v>1</v>
      </c>
      <c r="I137" s="2" t="s">
        <v>776</v>
      </c>
      <c r="J137" s="2" t="s">
        <v>617</v>
      </c>
      <c r="K137" s="2" t="s">
        <v>5</v>
      </c>
    </row>
    <row r="138" spans="1:11" s="4" customFormat="1" ht="30" x14ac:dyDescent="0.25">
      <c r="A138" s="2">
        <v>100</v>
      </c>
      <c r="B138" s="2" t="s">
        <v>273</v>
      </c>
      <c r="C138" s="2" t="s">
        <v>565</v>
      </c>
      <c r="D138" s="2">
        <v>1</v>
      </c>
      <c r="E138" s="2" t="s">
        <v>572</v>
      </c>
      <c r="F138" s="87" t="s">
        <v>568</v>
      </c>
      <c r="G138" s="87" t="s">
        <v>538</v>
      </c>
      <c r="H138" s="2">
        <v>1</v>
      </c>
      <c r="I138" s="2" t="s">
        <v>776</v>
      </c>
      <c r="J138" s="2" t="s">
        <v>617</v>
      </c>
      <c r="K138" s="2" t="s">
        <v>5</v>
      </c>
    </row>
    <row r="139" spans="1:11" s="4" customFormat="1" ht="30" x14ac:dyDescent="0.25">
      <c r="A139" s="2">
        <v>101</v>
      </c>
      <c r="B139" s="2" t="s">
        <v>376</v>
      </c>
      <c r="C139" s="2" t="s">
        <v>565</v>
      </c>
      <c r="D139" s="2">
        <v>1</v>
      </c>
      <c r="E139" s="2" t="s">
        <v>572</v>
      </c>
      <c r="F139" s="87" t="s">
        <v>568</v>
      </c>
      <c r="G139" s="87" t="s">
        <v>538</v>
      </c>
      <c r="H139" s="2">
        <v>1</v>
      </c>
      <c r="I139" s="2" t="s">
        <v>776</v>
      </c>
      <c r="J139" s="2" t="s">
        <v>617</v>
      </c>
      <c r="K139" s="2" t="s">
        <v>5</v>
      </c>
    </row>
    <row r="140" spans="1:11" s="4" customFormat="1" ht="30" x14ac:dyDescent="0.25">
      <c r="A140" s="2">
        <v>102</v>
      </c>
      <c r="B140" s="2" t="s">
        <v>377</v>
      </c>
      <c r="C140" s="2" t="s">
        <v>565</v>
      </c>
      <c r="D140" s="2">
        <v>1</v>
      </c>
      <c r="E140" s="2" t="s">
        <v>572</v>
      </c>
      <c r="F140" s="87" t="s">
        <v>568</v>
      </c>
      <c r="G140" s="87" t="s">
        <v>538</v>
      </c>
      <c r="H140" s="2">
        <v>1</v>
      </c>
      <c r="I140" s="2" t="s">
        <v>776</v>
      </c>
      <c r="J140" s="2" t="s">
        <v>617</v>
      </c>
      <c r="K140" s="2" t="s">
        <v>5</v>
      </c>
    </row>
    <row r="141" spans="1:11" s="4" customFormat="1" ht="30" x14ac:dyDescent="0.25">
      <c r="A141" s="2">
        <v>103</v>
      </c>
      <c r="B141" s="2" t="s">
        <v>1116</v>
      </c>
      <c r="C141" s="2" t="s">
        <v>565</v>
      </c>
      <c r="D141" s="2">
        <v>1</v>
      </c>
      <c r="E141" s="2" t="s">
        <v>572</v>
      </c>
      <c r="F141" s="87" t="s">
        <v>568</v>
      </c>
      <c r="G141" s="87" t="s">
        <v>538</v>
      </c>
      <c r="H141" s="2">
        <v>1</v>
      </c>
      <c r="I141" s="2" t="s">
        <v>776</v>
      </c>
      <c r="J141" s="2" t="s">
        <v>617</v>
      </c>
      <c r="K141" s="2" t="s">
        <v>5</v>
      </c>
    </row>
    <row r="142" spans="1:11" s="4" customFormat="1" ht="30" x14ac:dyDescent="0.25">
      <c r="A142" s="2">
        <v>104</v>
      </c>
      <c r="B142" s="2" t="s">
        <v>274</v>
      </c>
      <c r="C142" s="2" t="s">
        <v>565</v>
      </c>
      <c r="D142" s="2">
        <v>1</v>
      </c>
      <c r="E142" s="2" t="s">
        <v>572</v>
      </c>
      <c r="F142" s="87" t="s">
        <v>568</v>
      </c>
      <c r="G142" s="87" t="s">
        <v>538</v>
      </c>
      <c r="H142" s="2">
        <v>1</v>
      </c>
      <c r="I142" s="2" t="s">
        <v>776</v>
      </c>
      <c r="J142" s="2" t="s">
        <v>617</v>
      </c>
      <c r="K142" s="2" t="s">
        <v>5</v>
      </c>
    </row>
    <row r="143" spans="1:11" s="4" customFormat="1" ht="30" x14ac:dyDescent="0.25">
      <c r="A143" s="2">
        <v>105</v>
      </c>
      <c r="B143" s="2" t="s">
        <v>275</v>
      </c>
      <c r="C143" s="2" t="s">
        <v>565</v>
      </c>
      <c r="D143" s="2">
        <v>1</v>
      </c>
      <c r="E143" s="2" t="s">
        <v>572</v>
      </c>
      <c r="F143" s="87" t="s">
        <v>568</v>
      </c>
      <c r="G143" s="87" t="s">
        <v>538</v>
      </c>
      <c r="H143" s="2">
        <v>1</v>
      </c>
      <c r="I143" s="2" t="s">
        <v>776</v>
      </c>
      <c r="J143" s="2" t="s">
        <v>617</v>
      </c>
      <c r="K143" s="2" t="s">
        <v>5</v>
      </c>
    </row>
    <row r="144" spans="1:11" s="4" customFormat="1" ht="45" x14ac:dyDescent="0.25">
      <c r="A144" s="2">
        <v>106</v>
      </c>
      <c r="B144" s="2" t="s">
        <v>318</v>
      </c>
      <c r="C144" s="2" t="s">
        <v>565</v>
      </c>
      <c r="D144" s="2">
        <v>1</v>
      </c>
      <c r="E144" s="2" t="s">
        <v>572</v>
      </c>
      <c r="F144" s="87" t="s">
        <v>568</v>
      </c>
      <c r="G144" s="87" t="s">
        <v>538</v>
      </c>
      <c r="H144" s="2">
        <v>1</v>
      </c>
      <c r="I144" s="2" t="s">
        <v>776</v>
      </c>
      <c r="J144" s="2" t="s">
        <v>617</v>
      </c>
      <c r="K144" s="2" t="s">
        <v>5</v>
      </c>
    </row>
    <row r="145" spans="1:11" s="4" customFormat="1" ht="30" x14ac:dyDescent="0.25">
      <c r="A145" s="2">
        <v>107</v>
      </c>
      <c r="B145" s="2" t="s">
        <v>276</v>
      </c>
      <c r="C145" s="2" t="s">
        <v>565</v>
      </c>
      <c r="D145" s="2">
        <v>1</v>
      </c>
      <c r="E145" s="2" t="s">
        <v>572</v>
      </c>
      <c r="F145" s="87" t="s">
        <v>568</v>
      </c>
      <c r="G145" s="87" t="s">
        <v>538</v>
      </c>
      <c r="H145" s="2">
        <v>1</v>
      </c>
      <c r="I145" s="2" t="s">
        <v>776</v>
      </c>
      <c r="J145" s="2" t="s">
        <v>617</v>
      </c>
      <c r="K145" s="2" t="s">
        <v>5</v>
      </c>
    </row>
    <row r="146" spans="1:11" s="4" customFormat="1" ht="30" x14ac:dyDescent="0.25">
      <c r="A146" s="2">
        <v>108</v>
      </c>
      <c r="B146" s="2" t="s">
        <v>52</v>
      </c>
      <c r="C146" s="2" t="s">
        <v>565</v>
      </c>
      <c r="D146" s="2">
        <v>1</v>
      </c>
      <c r="E146" s="2" t="s">
        <v>572</v>
      </c>
      <c r="F146" s="87" t="s">
        <v>568</v>
      </c>
      <c r="G146" s="87" t="s">
        <v>538</v>
      </c>
      <c r="H146" s="2">
        <v>1</v>
      </c>
      <c r="I146" s="2" t="s">
        <v>776</v>
      </c>
      <c r="J146" s="2" t="s">
        <v>617</v>
      </c>
      <c r="K146" s="2" t="s">
        <v>5</v>
      </c>
    </row>
    <row r="147" spans="1:11" s="4" customFormat="1" ht="30" x14ac:dyDescent="0.25">
      <c r="A147" s="174">
        <v>109</v>
      </c>
      <c r="B147" s="174" t="s">
        <v>250</v>
      </c>
      <c r="C147" s="174" t="s">
        <v>565</v>
      </c>
      <c r="D147" s="174">
        <v>1</v>
      </c>
      <c r="E147" s="174" t="s">
        <v>572</v>
      </c>
      <c r="F147" s="174" t="s">
        <v>568</v>
      </c>
      <c r="G147" s="174" t="s">
        <v>538</v>
      </c>
      <c r="H147" s="2">
        <v>1</v>
      </c>
      <c r="I147" s="2" t="s">
        <v>776</v>
      </c>
      <c r="J147" s="2" t="s">
        <v>617</v>
      </c>
      <c r="K147" s="2" t="s">
        <v>5</v>
      </c>
    </row>
    <row r="148" spans="1:11" s="4" customFormat="1" ht="45" x14ac:dyDescent="0.25">
      <c r="A148" s="179"/>
      <c r="B148" s="179"/>
      <c r="C148" s="179"/>
      <c r="D148" s="179"/>
      <c r="E148" s="179"/>
      <c r="F148" s="179"/>
      <c r="G148" s="179"/>
      <c r="H148" s="16">
        <v>2</v>
      </c>
      <c r="I148" s="2" t="s">
        <v>1043</v>
      </c>
      <c r="J148" s="2" t="s">
        <v>617</v>
      </c>
      <c r="K148" s="2" t="s">
        <v>5</v>
      </c>
    </row>
    <row r="149" spans="1:11" s="4" customFormat="1" ht="60" x14ac:dyDescent="0.25">
      <c r="A149" s="194">
        <v>110</v>
      </c>
      <c r="B149" s="194" t="s">
        <v>277</v>
      </c>
      <c r="C149" s="194" t="s">
        <v>523</v>
      </c>
      <c r="D149" s="194">
        <v>100</v>
      </c>
      <c r="E149" s="194" t="s">
        <v>573</v>
      </c>
      <c r="F149" s="194" t="s">
        <v>547</v>
      </c>
      <c r="G149" s="194" t="s">
        <v>606</v>
      </c>
      <c r="H149" s="89">
        <v>1</v>
      </c>
      <c r="I149" s="89" t="s">
        <v>952</v>
      </c>
      <c r="J149" s="25" t="s">
        <v>617</v>
      </c>
      <c r="K149" s="2" t="s">
        <v>5</v>
      </c>
    </row>
    <row r="150" spans="1:11" s="4" customFormat="1" ht="165" x14ac:dyDescent="0.25">
      <c r="A150" s="194"/>
      <c r="B150" s="194"/>
      <c r="C150" s="194"/>
      <c r="D150" s="194"/>
      <c r="E150" s="194"/>
      <c r="F150" s="194"/>
      <c r="G150" s="194"/>
      <c r="H150" s="89">
        <v>2</v>
      </c>
      <c r="I150" s="89" t="s">
        <v>593</v>
      </c>
      <c r="J150" s="25" t="s">
        <v>617</v>
      </c>
      <c r="K150" s="2" t="s">
        <v>5</v>
      </c>
    </row>
    <row r="151" spans="1:11" s="4" customFormat="1" ht="75" x14ac:dyDescent="0.25">
      <c r="A151" s="194"/>
      <c r="B151" s="194"/>
      <c r="C151" s="194"/>
      <c r="D151" s="194"/>
      <c r="E151" s="194"/>
      <c r="F151" s="194"/>
      <c r="G151" s="194"/>
      <c r="H151" s="89">
        <v>3</v>
      </c>
      <c r="I151" s="89" t="s">
        <v>777</v>
      </c>
      <c r="J151" s="25" t="s">
        <v>232</v>
      </c>
      <c r="K151" s="2" t="s">
        <v>672</v>
      </c>
    </row>
  </sheetData>
  <mergeCells count="163">
    <mergeCell ref="F31:F33"/>
    <mergeCell ref="G31:G33"/>
    <mergeCell ref="A31:A33"/>
    <mergeCell ref="B31:B33"/>
    <mergeCell ref="C31:C33"/>
    <mergeCell ref="D31:D33"/>
    <mergeCell ref="E31:E33"/>
    <mergeCell ref="A34:A35"/>
    <mergeCell ref="B34:G35"/>
    <mergeCell ref="C149:C151"/>
    <mergeCell ref="D149:D151"/>
    <mergeCell ref="E149:E151"/>
    <mergeCell ref="F149:F151"/>
    <mergeCell ref="G149:G151"/>
    <mergeCell ref="A149:A151"/>
    <mergeCell ref="B149:B151"/>
    <mergeCell ref="F48:F49"/>
    <mergeCell ref="G48:G49"/>
    <mergeCell ref="A57:A58"/>
    <mergeCell ref="A48:A49"/>
    <mergeCell ref="B48:B49"/>
    <mergeCell ref="C48:C49"/>
    <mergeCell ref="D48:D49"/>
    <mergeCell ref="E48:E49"/>
    <mergeCell ref="F60:F61"/>
    <mergeCell ref="G60:G61"/>
    <mergeCell ref="D147:D148"/>
    <mergeCell ref="E147:E148"/>
    <mergeCell ref="A124:A125"/>
    <mergeCell ref="B124:B125"/>
    <mergeCell ref="C124:C125"/>
    <mergeCell ref="D124:D125"/>
    <mergeCell ref="E124:E125"/>
    <mergeCell ref="F4:F5"/>
    <mergeCell ref="G4:G5"/>
    <mergeCell ref="A6:A7"/>
    <mergeCell ref="B6:B7"/>
    <mergeCell ref="C6:C7"/>
    <mergeCell ref="D6:D7"/>
    <mergeCell ref="E6:E7"/>
    <mergeCell ref="F6:F7"/>
    <mergeCell ref="G6:G7"/>
    <mergeCell ref="A4:A5"/>
    <mergeCell ref="B4:B5"/>
    <mergeCell ref="C4:C5"/>
    <mergeCell ref="D4:D5"/>
    <mergeCell ref="E4:E5"/>
    <mergeCell ref="E8:E11"/>
    <mergeCell ref="F8:F11"/>
    <mergeCell ref="G8:G11"/>
    <mergeCell ref="A12:A13"/>
    <mergeCell ref="B12:B13"/>
    <mergeCell ref="C12:C13"/>
    <mergeCell ref="D12:D13"/>
    <mergeCell ref="E12:E13"/>
    <mergeCell ref="F12:F13"/>
    <mergeCell ref="G12:G13"/>
    <mergeCell ref="A8:A11"/>
    <mergeCell ref="B8:B11"/>
    <mergeCell ref="C8:C11"/>
    <mergeCell ref="D8:D11"/>
    <mergeCell ref="F14:F16"/>
    <mergeCell ref="G14:G16"/>
    <mergeCell ref="A17:A19"/>
    <mergeCell ref="B17:B19"/>
    <mergeCell ref="C17:C19"/>
    <mergeCell ref="D17:D19"/>
    <mergeCell ref="E17:E19"/>
    <mergeCell ref="F17:F19"/>
    <mergeCell ref="G17:G19"/>
    <mergeCell ref="A14:A16"/>
    <mergeCell ref="B14:B16"/>
    <mergeCell ref="C14:C16"/>
    <mergeCell ref="D14:D16"/>
    <mergeCell ref="E14:E16"/>
    <mergeCell ref="A76:A80"/>
    <mergeCell ref="B76:B80"/>
    <mergeCell ref="F20:F21"/>
    <mergeCell ref="G20:G21"/>
    <mergeCell ref="A22:A23"/>
    <mergeCell ref="B22:B23"/>
    <mergeCell ref="C22:C23"/>
    <mergeCell ref="D22:D23"/>
    <mergeCell ref="E22:E23"/>
    <mergeCell ref="F22:F23"/>
    <mergeCell ref="G22:G23"/>
    <mergeCell ref="A20:A21"/>
    <mergeCell ref="B20:B21"/>
    <mergeCell ref="C20:C21"/>
    <mergeCell ref="D20:D21"/>
    <mergeCell ref="E20:E21"/>
    <mergeCell ref="A44:A45"/>
    <mergeCell ref="A28:A29"/>
    <mergeCell ref="B28:B29"/>
    <mergeCell ref="C28:C29"/>
    <mergeCell ref="D28:D29"/>
    <mergeCell ref="E28:E29"/>
    <mergeCell ref="F28:F29"/>
    <mergeCell ref="G28:G29"/>
    <mergeCell ref="A74:A75"/>
    <mergeCell ref="B74:B75"/>
    <mergeCell ref="C74:C75"/>
    <mergeCell ref="D74:D75"/>
    <mergeCell ref="E74:E75"/>
    <mergeCell ref="F84:F85"/>
    <mergeCell ref="G84:G85"/>
    <mergeCell ref="A86:A87"/>
    <mergeCell ref="A60:A61"/>
    <mergeCell ref="B60:B61"/>
    <mergeCell ref="C60:C61"/>
    <mergeCell ref="D60:D61"/>
    <mergeCell ref="E60:E61"/>
    <mergeCell ref="A84:A85"/>
    <mergeCell ref="B84:B85"/>
    <mergeCell ref="C84:C85"/>
    <mergeCell ref="D84:D85"/>
    <mergeCell ref="E84:E85"/>
    <mergeCell ref="A66:A67"/>
    <mergeCell ref="B66:B67"/>
    <mergeCell ref="C66:C67"/>
    <mergeCell ref="D66:D67"/>
    <mergeCell ref="E66:E67"/>
    <mergeCell ref="F66:F67"/>
    <mergeCell ref="B57:G58"/>
    <mergeCell ref="B50:G50"/>
    <mergeCell ref="F44:F45"/>
    <mergeCell ref="G44:G45"/>
    <mergeCell ref="F124:F125"/>
    <mergeCell ref="G124:G125"/>
    <mergeCell ref="F147:F148"/>
    <mergeCell ref="G147:G148"/>
    <mergeCell ref="B126:G126"/>
    <mergeCell ref="C76:C80"/>
    <mergeCell ref="D76:D80"/>
    <mergeCell ref="E76:E80"/>
    <mergeCell ref="F76:F80"/>
    <mergeCell ref="G76:G80"/>
    <mergeCell ref="G66:G67"/>
    <mergeCell ref="F74:F75"/>
    <mergeCell ref="G74:G75"/>
    <mergeCell ref="B44:B45"/>
    <mergeCell ref="C44:C45"/>
    <mergeCell ref="D44:D45"/>
    <mergeCell ref="E44:E45"/>
    <mergeCell ref="A147:A148"/>
    <mergeCell ref="B147:B148"/>
    <mergeCell ref="C147:C148"/>
    <mergeCell ref="B86:B87"/>
    <mergeCell ref="C86:C87"/>
    <mergeCell ref="D86:D87"/>
    <mergeCell ref="E86:E87"/>
    <mergeCell ref="B100:G100"/>
    <mergeCell ref="B104:G105"/>
    <mergeCell ref="F88:F89"/>
    <mergeCell ref="G88:G89"/>
    <mergeCell ref="A104:A105"/>
    <mergeCell ref="A88:A89"/>
    <mergeCell ref="B88:B89"/>
    <mergeCell ref="C88:C89"/>
    <mergeCell ref="D88:D89"/>
    <mergeCell ref="E88:E89"/>
    <mergeCell ref="F86:F87"/>
    <mergeCell ref="G86:G87"/>
  </mergeCells>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D354-5B69-4482-8D5E-5C03091114ED}">
  <sheetPr codeName="Planilha8">
    <tabColor theme="3" tint="0.59999389629810485"/>
  </sheetPr>
  <dimension ref="A1:AMP11"/>
  <sheetViews>
    <sheetView showGridLines="0" zoomScaleNormal="100" workbookViewId="0">
      <pane ySplit="1" topLeftCell="A2" activePane="bottomLeft" state="frozen"/>
      <selection pane="bottomLeft" sqref="A1:G5"/>
    </sheetView>
  </sheetViews>
  <sheetFormatPr defaultColWidth="9.109375" defaultRowHeight="13.2" x14ac:dyDescent="0.25"/>
  <cols>
    <col min="1" max="1" width="9.44140625" style="6" bestFit="1" customWidth="1"/>
    <col min="2" max="2" width="43" style="6" customWidth="1"/>
    <col min="3" max="6" width="8.5546875" style="6" customWidth="1"/>
    <col min="7" max="7" width="35.88671875" style="6" customWidth="1"/>
    <col min="8" max="8" width="5.6640625" style="6" customWidth="1"/>
    <col min="9" max="9" width="42.88671875" style="18" customWidth="1"/>
    <col min="10" max="11" width="13.109375" style="11" bestFit="1" customWidth="1"/>
    <col min="12" max="14" width="11.33203125" style="11" customWidth="1"/>
    <col min="15" max="15" width="16" style="11" bestFit="1" customWidth="1"/>
    <col min="16" max="1030" width="17.6640625" style="11" customWidth="1"/>
    <col min="1031" max="16384" width="9.109375" style="14"/>
  </cols>
  <sheetData>
    <row r="1" spans="1:15" s="39" customFormat="1" ht="30" customHeight="1" x14ac:dyDescent="0.25">
      <c r="A1" s="35" t="s">
        <v>524</v>
      </c>
      <c r="B1" s="35" t="s">
        <v>525</v>
      </c>
      <c r="C1" s="35" t="s">
        <v>564</v>
      </c>
      <c r="D1" s="35" t="s">
        <v>560</v>
      </c>
      <c r="E1" s="35" t="s">
        <v>556</v>
      </c>
      <c r="F1" s="35" t="s">
        <v>528</v>
      </c>
      <c r="G1" s="35" t="s">
        <v>539</v>
      </c>
      <c r="H1" s="35" t="s">
        <v>523</v>
      </c>
      <c r="I1" s="35" t="s">
        <v>0</v>
      </c>
      <c r="J1" s="35" t="s">
        <v>667</v>
      </c>
      <c r="K1" s="35" t="s">
        <v>668</v>
      </c>
      <c r="L1" s="36" t="s">
        <v>6</v>
      </c>
      <c r="M1" s="37" t="s">
        <v>7</v>
      </c>
      <c r="N1" s="38" t="s">
        <v>8</v>
      </c>
      <c r="O1" s="76" t="s">
        <v>1039</v>
      </c>
    </row>
    <row r="2" spans="1:15" s="4" customFormat="1" ht="30" x14ac:dyDescent="0.25">
      <c r="A2" s="26">
        <v>1</v>
      </c>
      <c r="B2" s="26" t="s">
        <v>11</v>
      </c>
      <c r="C2" s="26" t="s">
        <v>561</v>
      </c>
      <c r="D2" s="26">
        <v>2</v>
      </c>
      <c r="E2" s="26" t="s">
        <v>572</v>
      </c>
      <c r="F2" s="27" t="s">
        <v>567</v>
      </c>
      <c r="G2" s="27" t="s">
        <v>790</v>
      </c>
      <c r="H2" s="26">
        <v>1</v>
      </c>
      <c r="I2" s="26" t="s">
        <v>791</v>
      </c>
      <c r="J2" s="26" t="s">
        <v>617</v>
      </c>
      <c r="K2" s="26" t="s">
        <v>5</v>
      </c>
    </row>
    <row r="3" spans="1:15" s="4" customFormat="1" ht="45" x14ac:dyDescent="0.25">
      <c r="A3" s="26">
        <v>2</v>
      </c>
      <c r="B3" s="26" t="s">
        <v>12</v>
      </c>
      <c r="C3" s="26" t="s">
        <v>561</v>
      </c>
      <c r="D3" s="26">
        <v>8</v>
      </c>
      <c r="E3" s="26" t="s">
        <v>572</v>
      </c>
      <c r="F3" s="26" t="s">
        <v>567</v>
      </c>
      <c r="G3" s="26" t="s">
        <v>555</v>
      </c>
      <c r="H3" s="26">
        <v>1</v>
      </c>
      <c r="I3" s="26" t="s">
        <v>626</v>
      </c>
      <c r="J3" s="26" t="s">
        <v>617</v>
      </c>
      <c r="K3" s="26" t="s">
        <v>5</v>
      </c>
    </row>
    <row r="4" spans="1:15" s="4" customFormat="1" ht="60" x14ac:dyDescent="0.25">
      <c r="A4" s="195">
        <v>3</v>
      </c>
      <c r="B4" s="195" t="s">
        <v>220</v>
      </c>
      <c r="C4" s="195" t="s">
        <v>561</v>
      </c>
      <c r="D4" s="195">
        <v>20</v>
      </c>
      <c r="E4" s="195" t="s">
        <v>573</v>
      </c>
      <c r="F4" s="195" t="s">
        <v>571</v>
      </c>
      <c r="G4" s="195" t="s">
        <v>543</v>
      </c>
      <c r="H4" s="27">
        <v>1</v>
      </c>
      <c r="I4" s="26" t="s">
        <v>784</v>
      </c>
      <c r="J4" s="26" t="s">
        <v>617</v>
      </c>
      <c r="K4" s="26" t="s">
        <v>5</v>
      </c>
    </row>
    <row r="5" spans="1:15" s="4" customFormat="1" ht="90" x14ac:dyDescent="0.25">
      <c r="A5" s="197"/>
      <c r="B5" s="197"/>
      <c r="C5" s="197"/>
      <c r="D5" s="197"/>
      <c r="E5" s="197"/>
      <c r="F5" s="197"/>
      <c r="G5" s="197"/>
      <c r="H5" s="27">
        <v>2</v>
      </c>
      <c r="I5" s="26" t="s">
        <v>785</v>
      </c>
      <c r="J5" s="26" t="s">
        <v>617</v>
      </c>
      <c r="K5" s="26" t="s">
        <v>5</v>
      </c>
    </row>
    <row r="6" spans="1:15" s="4" customFormat="1" ht="90" x14ac:dyDescent="0.25">
      <c r="A6" s="26">
        <v>4</v>
      </c>
      <c r="B6" s="26" t="s">
        <v>221</v>
      </c>
      <c r="C6" s="137" t="s">
        <v>523</v>
      </c>
      <c r="D6" s="26">
        <v>12</v>
      </c>
      <c r="E6" s="26" t="s">
        <v>572</v>
      </c>
      <c r="F6" s="26" t="s">
        <v>567</v>
      </c>
      <c r="G6" s="26" t="s">
        <v>555</v>
      </c>
      <c r="H6" s="26">
        <v>1</v>
      </c>
      <c r="I6" s="26" t="s">
        <v>786</v>
      </c>
      <c r="J6" s="26" t="s">
        <v>617</v>
      </c>
      <c r="K6" s="26" t="s">
        <v>5</v>
      </c>
    </row>
    <row r="7" spans="1:15" s="4" customFormat="1" ht="30" x14ac:dyDescent="0.25">
      <c r="A7" s="26">
        <v>5</v>
      </c>
      <c r="B7" s="26" t="s">
        <v>278</v>
      </c>
      <c r="C7" s="26" t="s">
        <v>561</v>
      </c>
      <c r="D7" s="26">
        <v>1</v>
      </c>
      <c r="E7" s="26" t="s">
        <v>572</v>
      </c>
      <c r="F7" s="26" t="s">
        <v>568</v>
      </c>
      <c r="G7" s="26" t="s">
        <v>787</v>
      </c>
      <c r="H7" s="26">
        <v>1</v>
      </c>
      <c r="I7" s="26" t="s">
        <v>723</v>
      </c>
      <c r="J7" s="26" t="s">
        <v>617</v>
      </c>
      <c r="K7" s="26" t="s">
        <v>5</v>
      </c>
    </row>
    <row r="8" spans="1:15" s="4" customFormat="1" ht="75" x14ac:dyDescent="0.25">
      <c r="A8" s="195">
        <v>6</v>
      </c>
      <c r="B8" s="195" t="s">
        <v>279</v>
      </c>
      <c r="C8" s="195" t="s">
        <v>565</v>
      </c>
      <c r="D8" s="195">
        <v>1</v>
      </c>
      <c r="E8" s="195" t="s">
        <v>572</v>
      </c>
      <c r="F8" s="195" t="s">
        <v>568</v>
      </c>
      <c r="G8" s="195" t="s">
        <v>788</v>
      </c>
      <c r="H8" s="26">
        <v>1</v>
      </c>
      <c r="I8" s="26" t="s">
        <v>1234</v>
      </c>
      <c r="J8" s="26" t="s">
        <v>617</v>
      </c>
      <c r="K8" s="26" t="s">
        <v>5</v>
      </c>
    </row>
    <row r="9" spans="1:15" s="4" customFormat="1" ht="45" x14ac:dyDescent="0.25">
      <c r="A9" s="196"/>
      <c r="B9" s="196"/>
      <c r="C9" s="196"/>
      <c r="D9" s="196"/>
      <c r="E9" s="196"/>
      <c r="F9" s="196"/>
      <c r="G9" s="196"/>
      <c r="H9" s="26">
        <v>2</v>
      </c>
      <c r="I9" s="26" t="s">
        <v>1235</v>
      </c>
      <c r="J9" s="26" t="s">
        <v>617</v>
      </c>
      <c r="K9" s="26" t="s">
        <v>5</v>
      </c>
    </row>
    <row r="10" spans="1:15" s="4" customFormat="1" ht="120" x14ac:dyDescent="0.25">
      <c r="A10" s="197"/>
      <c r="B10" s="197"/>
      <c r="C10" s="197"/>
      <c r="D10" s="197"/>
      <c r="E10" s="197"/>
      <c r="F10" s="197"/>
      <c r="G10" s="197"/>
      <c r="H10" s="26">
        <v>3</v>
      </c>
      <c r="I10" s="26" t="s">
        <v>1236</v>
      </c>
      <c r="J10" s="26" t="s">
        <v>617</v>
      </c>
      <c r="K10" s="26" t="s">
        <v>5</v>
      </c>
    </row>
    <row r="11" spans="1:15" s="4" customFormat="1" ht="75" x14ac:dyDescent="0.25">
      <c r="A11" s="26">
        <v>7</v>
      </c>
      <c r="B11" s="26" t="s">
        <v>292</v>
      </c>
      <c r="C11" s="26" t="s">
        <v>565</v>
      </c>
      <c r="D11" s="26">
        <v>1</v>
      </c>
      <c r="E11" s="26" t="s">
        <v>572</v>
      </c>
      <c r="F11" s="26" t="s">
        <v>568</v>
      </c>
      <c r="G11" s="26" t="s">
        <v>789</v>
      </c>
      <c r="H11" s="26"/>
      <c r="I11" s="26" t="s">
        <v>1237</v>
      </c>
      <c r="J11" s="26" t="s">
        <v>617</v>
      </c>
      <c r="K11" s="26" t="s">
        <v>5</v>
      </c>
    </row>
  </sheetData>
  <mergeCells count="14">
    <mergeCell ref="F8:F10"/>
    <mergeCell ref="G8:G10"/>
    <mergeCell ref="G4:G5"/>
    <mergeCell ref="A4:A5"/>
    <mergeCell ref="B4:B5"/>
    <mergeCell ref="C4:C5"/>
    <mergeCell ref="D4:D5"/>
    <mergeCell ref="E4:E5"/>
    <mergeCell ref="F4:F5"/>
    <mergeCell ref="A8:A10"/>
    <mergeCell ref="B8:B10"/>
    <mergeCell ref="C8:C10"/>
    <mergeCell ref="D8:D10"/>
    <mergeCell ref="E8:E10"/>
  </mergeCells>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6602-7C95-4A72-89D3-1BDCE37F5E6E}">
  <sheetPr codeName="Planilha9">
    <tabColor theme="3" tint="0.59999389629810485"/>
  </sheetPr>
  <dimension ref="A1:AMP52"/>
  <sheetViews>
    <sheetView showGridLines="0" zoomScaleNormal="100" workbookViewId="0">
      <pane ySplit="1" topLeftCell="A2" activePane="bottomLeft" state="frozen"/>
      <selection pane="bottomLeft" activeCell="C5" sqref="C5"/>
    </sheetView>
  </sheetViews>
  <sheetFormatPr defaultColWidth="9.109375" defaultRowHeight="13.2" x14ac:dyDescent="0.25"/>
  <cols>
    <col min="1" max="1" width="11.44140625" style="6" bestFit="1" customWidth="1"/>
    <col min="2" max="2" width="43" style="6" customWidth="1"/>
    <col min="3" max="6" width="8.5546875" style="6" customWidth="1"/>
    <col min="7" max="7" width="35.88671875" style="6" customWidth="1"/>
    <col min="8" max="8" width="5.6640625" style="6" customWidth="1"/>
    <col min="9" max="9" width="42.88671875" style="18" customWidth="1"/>
    <col min="10" max="10" width="14.33203125" style="11" bestFit="1" customWidth="1"/>
    <col min="11" max="11" width="14.44140625" style="11" bestFit="1" customWidth="1"/>
    <col min="12" max="14" width="11.33203125" style="11" customWidth="1"/>
    <col min="15" max="15" width="16" style="11" bestFit="1" customWidth="1"/>
    <col min="16" max="1030" width="17.6640625" style="11" customWidth="1"/>
    <col min="1031" max="16384" width="9.109375" style="14"/>
  </cols>
  <sheetData>
    <row r="1" spans="1:15" s="39" customFormat="1" ht="30" customHeight="1" x14ac:dyDescent="0.25">
      <c r="A1" s="35" t="s">
        <v>524</v>
      </c>
      <c r="B1" s="35" t="s">
        <v>525</v>
      </c>
      <c r="C1" s="35" t="s">
        <v>564</v>
      </c>
      <c r="D1" s="35" t="s">
        <v>560</v>
      </c>
      <c r="E1" s="35" t="s">
        <v>556</v>
      </c>
      <c r="F1" s="35" t="s">
        <v>528</v>
      </c>
      <c r="G1" s="35" t="s">
        <v>539</v>
      </c>
      <c r="H1" s="35" t="s">
        <v>523</v>
      </c>
      <c r="I1" s="35" t="s">
        <v>0</v>
      </c>
      <c r="J1" s="35" t="s">
        <v>667</v>
      </c>
      <c r="K1" s="35" t="s">
        <v>668</v>
      </c>
      <c r="L1" s="36" t="s">
        <v>6</v>
      </c>
      <c r="M1" s="37" t="s">
        <v>7</v>
      </c>
      <c r="N1" s="38" t="s">
        <v>8</v>
      </c>
      <c r="O1" s="76" t="s">
        <v>1039</v>
      </c>
    </row>
    <row r="2" spans="1:15" s="4" customFormat="1" ht="30" x14ac:dyDescent="0.25">
      <c r="A2" s="26">
        <v>1</v>
      </c>
      <c r="B2" s="26" t="s">
        <v>11</v>
      </c>
      <c r="C2" s="26" t="s">
        <v>561</v>
      </c>
      <c r="D2" s="26">
        <v>2</v>
      </c>
      <c r="E2" s="26" t="s">
        <v>572</v>
      </c>
      <c r="F2" s="27" t="s">
        <v>567</v>
      </c>
      <c r="G2" s="27" t="s">
        <v>451</v>
      </c>
      <c r="H2" s="26">
        <v>1</v>
      </c>
      <c r="I2" s="26" t="s">
        <v>783</v>
      </c>
      <c r="J2" s="26" t="s">
        <v>617</v>
      </c>
      <c r="K2" s="26" t="s">
        <v>5</v>
      </c>
    </row>
    <row r="3" spans="1:15" s="4" customFormat="1" ht="45" x14ac:dyDescent="0.25">
      <c r="A3" s="26">
        <v>2</v>
      </c>
      <c r="B3" s="26" t="s">
        <v>12</v>
      </c>
      <c r="C3" s="26" t="s">
        <v>561</v>
      </c>
      <c r="D3" s="26">
        <v>8</v>
      </c>
      <c r="E3" s="26" t="s">
        <v>572</v>
      </c>
      <c r="F3" s="26" t="s">
        <v>567</v>
      </c>
      <c r="G3" s="26" t="s">
        <v>555</v>
      </c>
      <c r="H3" s="26">
        <v>1</v>
      </c>
      <c r="I3" s="26" t="s">
        <v>626</v>
      </c>
      <c r="J3" s="26" t="s">
        <v>617</v>
      </c>
      <c r="K3" s="26" t="s">
        <v>5</v>
      </c>
    </row>
    <row r="4" spans="1:15" s="4" customFormat="1" ht="60" x14ac:dyDescent="0.25">
      <c r="A4" s="28">
        <v>3</v>
      </c>
      <c r="B4" s="28" t="s">
        <v>220</v>
      </c>
      <c r="C4" s="28" t="s">
        <v>561</v>
      </c>
      <c r="D4" s="28">
        <v>20</v>
      </c>
      <c r="E4" s="28" t="s">
        <v>573</v>
      </c>
      <c r="F4" s="28" t="s">
        <v>571</v>
      </c>
      <c r="G4" s="28" t="s">
        <v>543</v>
      </c>
      <c r="H4" s="27">
        <v>1</v>
      </c>
      <c r="I4" s="26" t="s">
        <v>784</v>
      </c>
      <c r="J4" s="26" t="s">
        <v>617</v>
      </c>
      <c r="K4" s="26" t="s">
        <v>5</v>
      </c>
    </row>
    <row r="5" spans="1:15" s="4" customFormat="1" ht="90" x14ac:dyDescent="0.25">
      <c r="A5" s="26">
        <v>4</v>
      </c>
      <c r="B5" s="28" t="s">
        <v>221</v>
      </c>
      <c r="C5" s="137" t="s">
        <v>523</v>
      </c>
      <c r="D5" s="28">
        <v>12</v>
      </c>
      <c r="E5" s="28" t="s">
        <v>572</v>
      </c>
      <c r="F5" s="28" t="s">
        <v>567</v>
      </c>
      <c r="G5" s="28" t="s">
        <v>555</v>
      </c>
      <c r="H5" s="26">
        <v>1</v>
      </c>
      <c r="I5" s="26" t="s">
        <v>792</v>
      </c>
      <c r="J5" s="26" t="s">
        <v>617</v>
      </c>
      <c r="K5" s="26" t="s">
        <v>5</v>
      </c>
    </row>
    <row r="6" spans="1:15" s="4" customFormat="1" ht="60" x14ac:dyDescent="0.25">
      <c r="A6" s="198">
        <v>5</v>
      </c>
      <c r="B6" s="200" t="s">
        <v>179</v>
      </c>
      <c r="C6" s="200" t="s">
        <v>561</v>
      </c>
      <c r="D6" s="200">
        <v>20</v>
      </c>
      <c r="E6" s="200" t="s">
        <v>572</v>
      </c>
      <c r="F6" s="200" t="s">
        <v>571</v>
      </c>
      <c r="G6" s="200" t="s">
        <v>543</v>
      </c>
      <c r="H6" s="25">
        <v>1</v>
      </c>
      <c r="I6" s="26" t="s">
        <v>793</v>
      </c>
      <c r="J6" s="2" t="s">
        <v>617</v>
      </c>
      <c r="K6" s="2" t="s">
        <v>5</v>
      </c>
    </row>
    <row r="7" spans="1:15" s="4" customFormat="1" ht="75" x14ac:dyDescent="0.25">
      <c r="A7" s="199"/>
      <c r="B7" s="201"/>
      <c r="C7" s="201"/>
      <c r="D7" s="201"/>
      <c r="E7" s="201"/>
      <c r="F7" s="201"/>
      <c r="G7" s="201"/>
      <c r="H7" s="30">
        <v>2</v>
      </c>
      <c r="I7" s="26" t="s">
        <v>1028</v>
      </c>
      <c r="J7" s="26" t="s">
        <v>617</v>
      </c>
      <c r="K7" s="26" t="s">
        <v>5</v>
      </c>
    </row>
    <row r="8" spans="1:15" s="4" customFormat="1" ht="45" x14ac:dyDescent="0.25">
      <c r="A8" s="26">
        <v>6</v>
      </c>
      <c r="B8" s="29" t="s">
        <v>469</v>
      </c>
      <c r="C8" s="17" t="s">
        <v>523</v>
      </c>
      <c r="D8" s="17">
        <v>0</v>
      </c>
      <c r="E8" s="17" t="s">
        <v>572</v>
      </c>
      <c r="F8" s="17"/>
      <c r="G8" s="17"/>
      <c r="H8" s="2">
        <v>1</v>
      </c>
      <c r="I8" s="2" t="s">
        <v>633</v>
      </c>
      <c r="J8" s="26" t="s">
        <v>617</v>
      </c>
      <c r="K8" s="26" t="s">
        <v>5</v>
      </c>
    </row>
    <row r="9" spans="1:15" s="4" customFormat="1" ht="30" x14ac:dyDescent="0.25">
      <c r="A9" s="195">
        <v>7</v>
      </c>
      <c r="B9" s="195" t="s">
        <v>519</v>
      </c>
      <c r="C9" s="195" t="s">
        <v>561</v>
      </c>
      <c r="D9" s="195">
        <v>1</v>
      </c>
      <c r="E9" s="195" t="s">
        <v>572</v>
      </c>
      <c r="F9" s="195" t="s">
        <v>568</v>
      </c>
      <c r="G9" s="195" t="s">
        <v>794</v>
      </c>
      <c r="H9" s="26">
        <v>1</v>
      </c>
      <c r="I9" s="26" t="s">
        <v>797</v>
      </c>
      <c r="J9" s="26" t="s">
        <v>617</v>
      </c>
      <c r="K9" s="26" t="s">
        <v>5</v>
      </c>
    </row>
    <row r="10" spans="1:15" s="4" customFormat="1" ht="60" x14ac:dyDescent="0.25">
      <c r="A10" s="196"/>
      <c r="B10" s="196"/>
      <c r="C10" s="196"/>
      <c r="D10" s="196"/>
      <c r="E10" s="196"/>
      <c r="F10" s="196"/>
      <c r="G10" s="196"/>
      <c r="H10" s="26">
        <v>2</v>
      </c>
      <c r="I10" s="26" t="s">
        <v>795</v>
      </c>
      <c r="J10" s="26" t="s">
        <v>617</v>
      </c>
      <c r="K10" s="26" t="s">
        <v>5</v>
      </c>
    </row>
    <row r="11" spans="1:15" s="4" customFormat="1" ht="45" x14ac:dyDescent="0.25">
      <c r="A11" s="196"/>
      <c r="B11" s="196"/>
      <c r="C11" s="196"/>
      <c r="D11" s="196"/>
      <c r="E11" s="196"/>
      <c r="F11" s="196"/>
      <c r="G11" s="196"/>
      <c r="H11" s="26">
        <v>3</v>
      </c>
      <c r="I11" s="26" t="s">
        <v>1220</v>
      </c>
      <c r="J11" s="26" t="s">
        <v>617</v>
      </c>
      <c r="K11" s="26" t="s">
        <v>5</v>
      </c>
    </row>
    <row r="12" spans="1:15" s="4" customFormat="1" ht="45" x14ac:dyDescent="0.25">
      <c r="A12" s="196"/>
      <c r="B12" s="196"/>
      <c r="C12" s="196"/>
      <c r="D12" s="196"/>
      <c r="E12" s="196"/>
      <c r="F12" s="196"/>
      <c r="G12" s="196"/>
      <c r="H12" s="26">
        <v>4</v>
      </c>
      <c r="I12" s="26" t="s">
        <v>1221</v>
      </c>
      <c r="J12" s="26" t="s">
        <v>617</v>
      </c>
      <c r="K12" s="26" t="s">
        <v>5</v>
      </c>
    </row>
    <row r="13" spans="1:15" s="4" customFormat="1" ht="60" x14ac:dyDescent="0.25">
      <c r="A13" s="196"/>
      <c r="B13" s="196"/>
      <c r="C13" s="196"/>
      <c r="D13" s="196"/>
      <c r="E13" s="196"/>
      <c r="F13" s="196"/>
      <c r="G13" s="196"/>
      <c r="H13" s="26">
        <v>5</v>
      </c>
      <c r="I13" s="26" t="s">
        <v>798</v>
      </c>
      <c r="J13" s="26" t="s">
        <v>617</v>
      </c>
      <c r="K13" s="26" t="s">
        <v>5</v>
      </c>
    </row>
    <row r="14" spans="1:15" s="4" customFormat="1" ht="75" x14ac:dyDescent="0.25">
      <c r="A14" s="196"/>
      <c r="B14" s="196"/>
      <c r="C14" s="196"/>
      <c r="D14" s="196"/>
      <c r="E14" s="196"/>
      <c r="F14" s="196"/>
      <c r="G14" s="196"/>
      <c r="H14" s="26">
        <v>6</v>
      </c>
      <c r="I14" s="26" t="s">
        <v>953</v>
      </c>
      <c r="J14" s="26" t="s">
        <v>617</v>
      </c>
      <c r="K14" s="26" t="s">
        <v>5</v>
      </c>
    </row>
    <row r="15" spans="1:15" s="4" customFormat="1" ht="90" x14ac:dyDescent="0.25">
      <c r="A15" s="196"/>
      <c r="B15" s="196"/>
      <c r="C15" s="196"/>
      <c r="D15" s="196"/>
      <c r="E15" s="196"/>
      <c r="F15" s="196"/>
      <c r="G15" s="196"/>
      <c r="H15" s="26">
        <v>7</v>
      </c>
      <c r="I15" s="26" t="s">
        <v>799</v>
      </c>
      <c r="J15" s="26" t="s">
        <v>617</v>
      </c>
      <c r="K15" s="26" t="s">
        <v>5</v>
      </c>
    </row>
    <row r="16" spans="1:15" s="4" customFormat="1" ht="75" x14ac:dyDescent="0.25">
      <c r="A16" s="197"/>
      <c r="B16" s="197"/>
      <c r="C16" s="197"/>
      <c r="D16" s="197"/>
      <c r="E16" s="197"/>
      <c r="F16" s="197"/>
      <c r="G16" s="197"/>
      <c r="H16" s="26">
        <v>8</v>
      </c>
      <c r="I16" s="26" t="s">
        <v>796</v>
      </c>
      <c r="J16" s="26" t="s">
        <v>617</v>
      </c>
      <c r="K16" s="26" t="s">
        <v>5</v>
      </c>
    </row>
    <row r="17" spans="1:11" s="4" customFormat="1" ht="75" x14ac:dyDescent="0.25">
      <c r="A17" s="28">
        <v>8</v>
      </c>
      <c r="B17" s="28" t="s">
        <v>470</v>
      </c>
      <c r="C17" s="28" t="s">
        <v>565</v>
      </c>
      <c r="D17" s="28">
        <v>1</v>
      </c>
      <c r="E17" s="28" t="s">
        <v>572</v>
      </c>
      <c r="F17" s="28" t="s">
        <v>568</v>
      </c>
      <c r="G17" s="28" t="s">
        <v>789</v>
      </c>
      <c r="H17" s="26">
        <v>1</v>
      </c>
      <c r="I17" s="26" t="s">
        <v>800</v>
      </c>
      <c r="J17" s="26" t="s">
        <v>617</v>
      </c>
      <c r="K17" s="26" t="s">
        <v>5</v>
      </c>
    </row>
    <row r="18" spans="1:11" s="15" customFormat="1" ht="93.6" x14ac:dyDescent="0.25">
      <c r="A18" s="202" t="s">
        <v>471</v>
      </c>
      <c r="B18" s="205" t="s">
        <v>520</v>
      </c>
      <c r="C18" s="206"/>
      <c r="D18" s="206"/>
      <c r="E18" s="206"/>
      <c r="F18" s="206"/>
      <c r="G18" s="207"/>
      <c r="H18" s="31">
        <v>1</v>
      </c>
      <c r="I18" s="31" t="s">
        <v>807</v>
      </c>
      <c r="J18" s="31" t="s">
        <v>617</v>
      </c>
      <c r="K18" s="31" t="s">
        <v>5</v>
      </c>
    </row>
    <row r="19" spans="1:11" s="15" customFormat="1" ht="46.8" x14ac:dyDescent="0.25">
      <c r="A19" s="204"/>
      <c r="B19" s="210"/>
      <c r="C19" s="211"/>
      <c r="D19" s="211"/>
      <c r="E19" s="211"/>
      <c r="F19" s="211"/>
      <c r="G19" s="212"/>
      <c r="H19" s="31">
        <v>2</v>
      </c>
      <c r="I19" s="31" t="s">
        <v>801</v>
      </c>
      <c r="J19" s="31" t="s">
        <v>617</v>
      </c>
      <c r="K19" s="31" t="s">
        <v>5</v>
      </c>
    </row>
    <row r="20" spans="1:11" s="4" customFormat="1" ht="90" x14ac:dyDescent="0.25">
      <c r="A20" s="26">
        <v>9</v>
      </c>
      <c r="B20" s="26" t="s">
        <v>191</v>
      </c>
      <c r="C20" s="26" t="s">
        <v>565</v>
      </c>
      <c r="D20" s="26">
        <v>2</v>
      </c>
      <c r="E20" s="26" t="s">
        <v>573</v>
      </c>
      <c r="F20" s="27" t="s">
        <v>567</v>
      </c>
      <c r="G20" s="27" t="s">
        <v>772</v>
      </c>
      <c r="H20" s="26">
        <v>1</v>
      </c>
      <c r="I20" s="26" t="s">
        <v>808</v>
      </c>
      <c r="J20" s="26" t="s">
        <v>617</v>
      </c>
      <c r="K20" s="26" t="s">
        <v>5</v>
      </c>
    </row>
    <row r="21" spans="1:11" s="4" customFormat="1" ht="90" x14ac:dyDescent="0.25">
      <c r="A21" s="26">
        <v>10</v>
      </c>
      <c r="B21" s="26" t="s">
        <v>192</v>
      </c>
      <c r="C21" s="26" t="s">
        <v>565</v>
      </c>
      <c r="D21" s="26">
        <v>2</v>
      </c>
      <c r="E21" s="26" t="s">
        <v>573</v>
      </c>
      <c r="F21" s="27" t="s">
        <v>567</v>
      </c>
      <c r="G21" s="27" t="s">
        <v>772</v>
      </c>
      <c r="H21" s="26">
        <v>1</v>
      </c>
      <c r="I21" s="26" t="s">
        <v>809</v>
      </c>
      <c r="J21" s="26" t="s">
        <v>617</v>
      </c>
      <c r="K21" s="26" t="s">
        <v>5</v>
      </c>
    </row>
    <row r="22" spans="1:11" s="4" customFormat="1" ht="90" x14ac:dyDescent="0.25">
      <c r="A22" s="26">
        <v>11</v>
      </c>
      <c r="B22" s="26" t="s">
        <v>193</v>
      </c>
      <c r="C22" s="26" t="s">
        <v>565</v>
      </c>
      <c r="D22" s="26">
        <v>2</v>
      </c>
      <c r="E22" s="26" t="s">
        <v>573</v>
      </c>
      <c r="F22" s="27" t="s">
        <v>567</v>
      </c>
      <c r="G22" s="27" t="s">
        <v>772</v>
      </c>
      <c r="H22" s="26">
        <v>1</v>
      </c>
      <c r="I22" s="26" t="s">
        <v>809</v>
      </c>
      <c r="J22" s="26" t="s">
        <v>617</v>
      </c>
      <c r="K22" s="26" t="s">
        <v>5</v>
      </c>
    </row>
    <row r="23" spans="1:11" s="4" customFormat="1" ht="90" x14ac:dyDescent="0.25">
      <c r="A23" s="26">
        <v>12</v>
      </c>
      <c r="B23" s="26" t="s">
        <v>194</v>
      </c>
      <c r="C23" s="26" t="s">
        <v>565</v>
      </c>
      <c r="D23" s="26">
        <v>2</v>
      </c>
      <c r="E23" s="26" t="s">
        <v>573</v>
      </c>
      <c r="F23" s="27" t="s">
        <v>567</v>
      </c>
      <c r="G23" s="27" t="s">
        <v>772</v>
      </c>
      <c r="H23" s="26">
        <v>1</v>
      </c>
      <c r="I23" s="26" t="s">
        <v>809</v>
      </c>
      <c r="J23" s="26" t="s">
        <v>617</v>
      </c>
      <c r="K23" s="26" t="s">
        <v>5</v>
      </c>
    </row>
    <row r="24" spans="1:11" s="4" customFormat="1" ht="90" x14ac:dyDescent="0.25">
      <c r="A24" s="26">
        <v>13</v>
      </c>
      <c r="B24" s="26" t="s">
        <v>195</v>
      </c>
      <c r="C24" s="26" t="s">
        <v>565</v>
      </c>
      <c r="D24" s="26">
        <v>2</v>
      </c>
      <c r="E24" s="26" t="s">
        <v>573</v>
      </c>
      <c r="F24" s="27" t="s">
        <v>567</v>
      </c>
      <c r="G24" s="27" t="s">
        <v>772</v>
      </c>
      <c r="H24" s="26">
        <v>1</v>
      </c>
      <c r="I24" s="26" t="s">
        <v>809</v>
      </c>
      <c r="J24" s="26" t="s">
        <v>617</v>
      </c>
      <c r="K24" s="26" t="s">
        <v>5</v>
      </c>
    </row>
    <row r="25" spans="1:11" s="4" customFormat="1" ht="90" x14ac:dyDescent="0.25">
      <c r="A25" s="26">
        <v>14</v>
      </c>
      <c r="B25" s="26" t="s">
        <v>196</v>
      </c>
      <c r="C25" s="26" t="s">
        <v>565</v>
      </c>
      <c r="D25" s="26">
        <v>2</v>
      </c>
      <c r="E25" s="26" t="s">
        <v>573</v>
      </c>
      <c r="F25" s="27" t="s">
        <v>567</v>
      </c>
      <c r="G25" s="27" t="s">
        <v>772</v>
      </c>
      <c r="H25" s="26">
        <v>1</v>
      </c>
      <c r="I25" s="26" t="s">
        <v>809</v>
      </c>
      <c r="J25" s="26" t="s">
        <v>617</v>
      </c>
      <c r="K25" s="26" t="s">
        <v>5</v>
      </c>
    </row>
    <row r="26" spans="1:11" s="4" customFormat="1" ht="90" x14ac:dyDescent="0.25">
      <c r="A26" s="26">
        <v>15</v>
      </c>
      <c r="B26" s="26" t="s">
        <v>472</v>
      </c>
      <c r="C26" s="26" t="s">
        <v>565</v>
      </c>
      <c r="D26" s="26">
        <v>2</v>
      </c>
      <c r="E26" s="26" t="s">
        <v>573</v>
      </c>
      <c r="F26" s="27" t="s">
        <v>567</v>
      </c>
      <c r="G26" s="27" t="s">
        <v>772</v>
      </c>
      <c r="H26" s="26">
        <v>1</v>
      </c>
      <c r="I26" s="26" t="s">
        <v>809</v>
      </c>
      <c r="J26" s="26" t="s">
        <v>617</v>
      </c>
      <c r="K26" s="26" t="s">
        <v>5</v>
      </c>
    </row>
    <row r="27" spans="1:11" s="4" customFormat="1" ht="90" x14ac:dyDescent="0.25">
      <c r="A27" s="26">
        <v>16</v>
      </c>
      <c r="B27" s="26" t="s">
        <v>473</v>
      </c>
      <c r="C27" s="26" t="s">
        <v>565</v>
      </c>
      <c r="D27" s="26">
        <v>2</v>
      </c>
      <c r="E27" s="26" t="s">
        <v>573</v>
      </c>
      <c r="F27" s="27" t="s">
        <v>567</v>
      </c>
      <c r="G27" s="27" t="s">
        <v>772</v>
      </c>
      <c r="H27" s="26">
        <v>1</v>
      </c>
      <c r="I27" s="26" t="s">
        <v>809</v>
      </c>
      <c r="J27" s="26" t="s">
        <v>617</v>
      </c>
      <c r="K27" s="26" t="s">
        <v>5</v>
      </c>
    </row>
    <row r="28" spans="1:11" s="4" customFormat="1" ht="90" x14ac:dyDescent="0.25">
      <c r="A28" s="26">
        <v>17</v>
      </c>
      <c r="B28" s="26" t="s">
        <v>474</v>
      </c>
      <c r="C28" s="26" t="s">
        <v>565</v>
      </c>
      <c r="D28" s="26">
        <v>2</v>
      </c>
      <c r="E28" s="26" t="s">
        <v>573</v>
      </c>
      <c r="F28" s="27" t="s">
        <v>567</v>
      </c>
      <c r="G28" s="27" t="s">
        <v>772</v>
      </c>
      <c r="H28" s="26">
        <v>1</v>
      </c>
      <c r="I28" s="26" t="s">
        <v>809</v>
      </c>
      <c r="J28" s="26" t="s">
        <v>617</v>
      </c>
      <c r="K28" s="26" t="s">
        <v>5</v>
      </c>
    </row>
    <row r="29" spans="1:11" s="4" customFormat="1" ht="90" x14ac:dyDescent="0.25">
      <c r="A29" s="26">
        <v>18</v>
      </c>
      <c r="B29" s="26" t="s">
        <v>475</v>
      </c>
      <c r="C29" s="26" t="s">
        <v>565</v>
      </c>
      <c r="D29" s="26">
        <v>2</v>
      </c>
      <c r="E29" s="26" t="s">
        <v>573</v>
      </c>
      <c r="F29" s="27" t="s">
        <v>567</v>
      </c>
      <c r="G29" s="27" t="s">
        <v>772</v>
      </c>
      <c r="H29" s="26">
        <v>1</v>
      </c>
      <c r="I29" s="26" t="s">
        <v>809</v>
      </c>
      <c r="J29" s="26" t="s">
        <v>617</v>
      </c>
      <c r="K29" s="26" t="s">
        <v>5</v>
      </c>
    </row>
    <row r="30" spans="1:11" s="4" customFormat="1" ht="90" x14ac:dyDescent="0.25">
      <c r="A30" s="26">
        <v>19</v>
      </c>
      <c r="B30" s="26" t="s">
        <v>476</v>
      </c>
      <c r="C30" s="26" t="s">
        <v>565</v>
      </c>
      <c r="D30" s="26">
        <v>2</v>
      </c>
      <c r="E30" s="26" t="s">
        <v>573</v>
      </c>
      <c r="F30" s="27" t="s">
        <v>567</v>
      </c>
      <c r="G30" s="27" t="s">
        <v>772</v>
      </c>
      <c r="H30" s="26">
        <v>1</v>
      </c>
      <c r="I30" s="26" t="s">
        <v>809</v>
      </c>
      <c r="J30" s="26" t="s">
        <v>617</v>
      </c>
      <c r="K30" s="26" t="s">
        <v>5</v>
      </c>
    </row>
    <row r="31" spans="1:11" s="4" customFormat="1" ht="90" x14ac:dyDescent="0.25">
      <c r="A31" s="26">
        <v>20</v>
      </c>
      <c r="B31" s="26" t="s">
        <v>477</v>
      </c>
      <c r="C31" s="26" t="s">
        <v>565</v>
      </c>
      <c r="D31" s="26">
        <v>2</v>
      </c>
      <c r="E31" s="26" t="s">
        <v>573</v>
      </c>
      <c r="F31" s="27" t="s">
        <v>567</v>
      </c>
      <c r="G31" s="27" t="s">
        <v>772</v>
      </c>
      <c r="H31" s="26">
        <v>1</v>
      </c>
      <c r="I31" s="26" t="s">
        <v>809</v>
      </c>
      <c r="J31" s="26" t="s">
        <v>617</v>
      </c>
      <c r="K31" s="26" t="s">
        <v>5</v>
      </c>
    </row>
    <row r="32" spans="1:11" s="4" customFormat="1" ht="90" x14ac:dyDescent="0.25">
      <c r="A32" s="26">
        <v>21</v>
      </c>
      <c r="B32" s="26" t="s">
        <v>478</v>
      </c>
      <c r="C32" s="26" t="s">
        <v>565</v>
      </c>
      <c r="D32" s="26">
        <v>2</v>
      </c>
      <c r="E32" s="26" t="s">
        <v>573</v>
      </c>
      <c r="F32" s="27" t="s">
        <v>567</v>
      </c>
      <c r="G32" s="27" t="s">
        <v>772</v>
      </c>
      <c r="H32" s="26">
        <v>1</v>
      </c>
      <c r="I32" s="26" t="s">
        <v>809</v>
      </c>
      <c r="J32" s="26" t="s">
        <v>617</v>
      </c>
      <c r="K32" s="26" t="s">
        <v>5</v>
      </c>
    </row>
    <row r="33" spans="1:11" s="4" customFormat="1" ht="90" x14ac:dyDescent="0.25">
      <c r="A33" s="26">
        <v>22</v>
      </c>
      <c r="B33" s="26" t="s">
        <v>479</v>
      </c>
      <c r="C33" s="26" t="s">
        <v>565</v>
      </c>
      <c r="D33" s="26">
        <v>2</v>
      </c>
      <c r="E33" s="26" t="s">
        <v>573</v>
      </c>
      <c r="F33" s="27" t="s">
        <v>567</v>
      </c>
      <c r="G33" s="27" t="s">
        <v>772</v>
      </c>
      <c r="H33" s="26">
        <v>1</v>
      </c>
      <c r="I33" s="26" t="s">
        <v>809</v>
      </c>
      <c r="J33" s="26" t="s">
        <v>617</v>
      </c>
      <c r="K33" s="26" t="s">
        <v>5</v>
      </c>
    </row>
    <row r="34" spans="1:11" s="4" customFormat="1" ht="90" x14ac:dyDescent="0.25">
      <c r="A34" s="26">
        <v>23</v>
      </c>
      <c r="B34" s="26" t="s">
        <v>480</v>
      </c>
      <c r="C34" s="26" t="s">
        <v>565</v>
      </c>
      <c r="D34" s="26">
        <v>2</v>
      </c>
      <c r="E34" s="26" t="s">
        <v>573</v>
      </c>
      <c r="F34" s="27" t="s">
        <v>567</v>
      </c>
      <c r="G34" s="27" t="s">
        <v>772</v>
      </c>
      <c r="H34" s="26">
        <v>1</v>
      </c>
      <c r="I34" s="26" t="s">
        <v>809</v>
      </c>
      <c r="J34" s="26" t="s">
        <v>617</v>
      </c>
      <c r="K34" s="26" t="s">
        <v>5</v>
      </c>
    </row>
    <row r="35" spans="1:11" s="4" customFormat="1" ht="90" x14ac:dyDescent="0.25">
      <c r="A35" s="26">
        <v>24</v>
      </c>
      <c r="B35" s="26" t="s">
        <v>481</v>
      </c>
      <c r="C35" s="26" t="s">
        <v>565</v>
      </c>
      <c r="D35" s="26">
        <v>2</v>
      </c>
      <c r="E35" s="26" t="s">
        <v>573</v>
      </c>
      <c r="F35" s="27" t="s">
        <v>567</v>
      </c>
      <c r="G35" s="27" t="s">
        <v>772</v>
      </c>
      <c r="H35" s="26">
        <v>1</v>
      </c>
      <c r="I35" s="26" t="s">
        <v>809</v>
      </c>
      <c r="J35" s="26" t="s">
        <v>617</v>
      </c>
      <c r="K35" s="26" t="s">
        <v>5</v>
      </c>
    </row>
    <row r="36" spans="1:11" s="4" customFormat="1" ht="90" x14ac:dyDescent="0.25">
      <c r="A36" s="26">
        <v>25</v>
      </c>
      <c r="B36" s="26" t="s">
        <v>482</v>
      </c>
      <c r="C36" s="26" t="s">
        <v>565</v>
      </c>
      <c r="D36" s="26">
        <v>2</v>
      </c>
      <c r="E36" s="26" t="s">
        <v>573</v>
      </c>
      <c r="F36" s="27" t="s">
        <v>567</v>
      </c>
      <c r="G36" s="27" t="s">
        <v>772</v>
      </c>
      <c r="H36" s="26">
        <v>1</v>
      </c>
      <c r="I36" s="26" t="s">
        <v>809</v>
      </c>
      <c r="J36" s="26" t="s">
        <v>617</v>
      </c>
      <c r="K36" s="26" t="s">
        <v>5</v>
      </c>
    </row>
    <row r="37" spans="1:11" s="4" customFormat="1" ht="90" x14ac:dyDescent="0.25">
      <c r="A37" s="26">
        <v>26</v>
      </c>
      <c r="B37" s="26" t="s">
        <v>483</v>
      </c>
      <c r="C37" s="26" t="s">
        <v>565</v>
      </c>
      <c r="D37" s="26">
        <v>2</v>
      </c>
      <c r="E37" s="26" t="s">
        <v>573</v>
      </c>
      <c r="F37" s="27" t="s">
        <v>567</v>
      </c>
      <c r="G37" s="27" t="s">
        <v>772</v>
      </c>
      <c r="H37" s="26">
        <v>1</v>
      </c>
      <c r="I37" s="26" t="s">
        <v>809</v>
      </c>
      <c r="J37" s="26" t="s">
        <v>617</v>
      </c>
      <c r="K37" s="26" t="s">
        <v>5</v>
      </c>
    </row>
    <row r="38" spans="1:11" s="4" customFormat="1" ht="90" x14ac:dyDescent="0.25">
      <c r="A38" s="26">
        <v>27</v>
      </c>
      <c r="B38" s="26" t="s">
        <v>484</v>
      </c>
      <c r="C38" s="26" t="s">
        <v>565</v>
      </c>
      <c r="D38" s="26">
        <v>2</v>
      </c>
      <c r="E38" s="26" t="s">
        <v>573</v>
      </c>
      <c r="F38" s="27" t="s">
        <v>567</v>
      </c>
      <c r="G38" s="27" t="s">
        <v>772</v>
      </c>
      <c r="H38" s="26">
        <v>1</v>
      </c>
      <c r="I38" s="26" t="s">
        <v>809</v>
      </c>
      <c r="J38" s="26" t="s">
        <v>617</v>
      </c>
      <c r="K38" s="26" t="s">
        <v>5</v>
      </c>
    </row>
    <row r="39" spans="1:11" s="4" customFormat="1" ht="90" x14ac:dyDescent="0.25">
      <c r="A39" s="26">
        <v>28</v>
      </c>
      <c r="B39" s="26" t="s">
        <v>485</v>
      </c>
      <c r="C39" s="26" t="s">
        <v>565</v>
      </c>
      <c r="D39" s="26">
        <v>2</v>
      </c>
      <c r="E39" s="26" t="s">
        <v>573</v>
      </c>
      <c r="F39" s="27" t="s">
        <v>567</v>
      </c>
      <c r="G39" s="27" t="s">
        <v>772</v>
      </c>
      <c r="H39" s="26">
        <v>1</v>
      </c>
      <c r="I39" s="26" t="s">
        <v>809</v>
      </c>
      <c r="J39" s="26" t="s">
        <v>617</v>
      </c>
      <c r="K39" s="26" t="s">
        <v>5</v>
      </c>
    </row>
    <row r="40" spans="1:11" s="4" customFormat="1" ht="90" x14ac:dyDescent="0.25">
      <c r="A40" s="26">
        <v>29</v>
      </c>
      <c r="B40" s="26" t="s">
        <v>486</v>
      </c>
      <c r="C40" s="26" t="s">
        <v>565</v>
      </c>
      <c r="D40" s="26">
        <v>2</v>
      </c>
      <c r="E40" s="26" t="s">
        <v>573</v>
      </c>
      <c r="F40" s="27" t="s">
        <v>567</v>
      </c>
      <c r="G40" s="27" t="s">
        <v>772</v>
      </c>
      <c r="H40" s="26">
        <v>1</v>
      </c>
      <c r="I40" s="26" t="s">
        <v>809</v>
      </c>
      <c r="J40" s="26" t="s">
        <v>617</v>
      </c>
      <c r="K40" s="26" t="s">
        <v>5</v>
      </c>
    </row>
    <row r="41" spans="1:11" s="4" customFormat="1" ht="90" x14ac:dyDescent="0.25">
      <c r="A41" s="26">
        <v>30</v>
      </c>
      <c r="B41" s="26" t="s">
        <v>487</v>
      </c>
      <c r="C41" s="26" t="s">
        <v>565</v>
      </c>
      <c r="D41" s="26">
        <v>2</v>
      </c>
      <c r="E41" s="26" t="s">
        <v>573</v>
      </c>
      <c r="F41" s="27" t="s">
        <v>567</v>
      </c>
      <c r="G41" s="27" t="s">
        <v>772</v>
      </c>
      <c r="H41" s="26">
        <v>1</v>
      </c>
      <c r="I41" s="26" t="s">
        <v>809</v>
      </c>
      <c r="J41" s="26" t="s">
        <v>617</v>
      </c>
      <c r="K41" s="26" t="s">
        <v>5</v>
      </c>
    </row>
    <row r="42" spans="1:11" s="4" customFormat="1" ht="90" x14ac:dyDescent="0.25">
      <c r="A42" s="26">
        <v>31</v>
      </c>
      <c r="B42" s="26" t="s">
        <v>488</v>
      </c>
      <c r="C42" s="26" t="s">
        <v>565</v>
      </c>
      <c r="D42" s="26">
        <v>2</v>
      </c>
      <c r="E42" s="26" t="s">
        <v>573</v>
      </c>
      <c r="F42" s="27" t="s">
        <v>567</v>
      </c>
      <c r="G42" s="27" t="s">
        <v>772</v>
      </c>
      <c r="H42" s="26">
        <v>1</v>
      </c>
      <c r="I42" s="26" t="s">
        <v>809</v>
      </c>
      <c r="J42" s="26" t="s">
        <v>617</v>
      </c>
      <c r="K42" s="26" t="s">
        <v>5</v>
      </c>
    </row>
    <row r="43" spans="1:11" s="4" customFormat="1" ht="90" x14ac:dyDescent="0.25">
      <c r="A43" s="26">
        <v>32</v>
      </c>
      <c r="B43" s="26" t="s">
        <v>489</v>
      </c>
      <c r="C43" s="26" t="s">
        <v>565</v>
      </c>
      <c r="D43" s="26">
        <v>2</v>
      </c>
      <c r="E43" s="26" t="s">
        <v>573</v>
      </c>
      <c r="F43" s="27" t="s">
        <v>567</v>
      </c>
      <c r="G43" s="27" t="s">
        <v>772</v>
      </c>
      <c r="H43" s="26">
        <v>1</v>
      </c>
      <c r="I43" s="26" t="s">
        <v>809</v>
      </c>
      <c r="J43" s="26" t="s">
        <v>617</v>
      </c>
      <c r="K43" s="26" t="s">
        <v>5</v>
      </c>
    </row>
    <row r="44" spans="1:11" s="4" customFormat="1" ht="90" x14ac:dyDescent="0.25">
      <c r="A44" s="26">
        <v>33</v>
      </c>
      <c r="B44" s="26" t="s">
        <v>490</v>
      </c>
      <c r="C44" s="26" t="s">
        <v>565</v>
      </c>
      <c r="D44" s="26">
        <v>2</v>
      </c>
      <c r="E44" s="26" t="s">
        <v>573</v>
      </c>
      <c r="F44" s="27" t="s">
        <v>567</v>
      </c>
      <c r="G44" s="27" t="s">
        <v>772</v>
      </c>
      <c r="H44" s="26">
        <v>1</v>
      </c>
      <c r="I44" s="26" t="s">
        <v>809</v>
      </c>
      <c r="J44" s="26" t="s">
        <v>617</v>
      </c>
      <c r="K44" s="26" t="s">
        <v>5</v>
      </c>
    </row>
    <row r="45" spans="1:11" s="15" customFormat="1" ht="46.8" x14ac:dyDescent="0.25">
      <c r="A45" s="202" t="s">
        <v>521</v>
      </c>
      <c r="B45" s="205" t="s">
        <v>418</v>
      </c>
      <c r="C45" s="206"/>
      <c r="D45" s="206"/>
      <c r="E45" s="206"/>
      <c r="F45" s="206"/>
      <c r="G45" s="207"/>
      <c r="H45" s="31">
        <v>1</v>
      </c>
      <c r="I45" s="31" t="s">
        <v>802</v>
      </c>
      <c r="J45" s="31" t="s">
        <v>617</v>
      </c>
      <c r="K45" s="31" t="s">
        <v>5</v>
      </c>
    </row>
    <row r="46" spans="1:11" s="15" customFormat="1" ht="78" x14ac:dyDescent="0.25">
      <c r="A46" s="203"/>
      <c r="B46" s="208"/>
      <c r="C46" s="165"/>
      <c r="D46" s="165"/>
      <c r="E46" s="165"/>
      <c r="F46" s="165"/>
      <c r="G46" s="209"/>
      <c r="H46" s="31">
        <v>2</v>
      </c>
      <c r="I46" s="31" t="s">
        <v>954</v>
      </c>
      <c r="J46" s="31" t="s">
        <v>617</v>
      </c>
      <c r="K46" s="31" t="s">
        <v>5</v>
      </c>
    </row>
    <row r="47" spans="1:11" s="15" customFormat="1" ht="62.4" x14ac:dyDescent="0.25">
      <c r="A47" s="204"/>
      <c r="B47" s="210"/>
      <c r="C47" s="211"/>
      <c r="D47" s="211"/>
      <c r="E47" s="211"/>
      <c r="F47" s="211"/>
      <c r="G47" s="212"/>
      <c r="H47" s="31">
        <v>3</v>
      </c>
      <c r="I47" s="31" t="s">
        <v>825</v>
      </c>
      <c r="J47" s="31"/>
      <c r="K47" s="31"/>
    </row>
    <row r="48" spans="1:11" s="4" customFormat="1" ht="90" x14ac:dyDescent="0.25">
      <c r="A48" s="26">
        <v>34</v>
      </c>
      <c r="B48" s="26" t="s">
        <v>343</v>
      </c>
      <c r="C48" s="26" t="s">
        <v>565</v>
      </c>
      <c r="D48" s="26">
        <v>1</v>
      </c>
      <c r="E48" s="26" t="s">
        <v>572</v>
      </c>
      <c r="F48" s="27" t="s">
        <v>568</v>
      </c>
      <c r="G48" s="27" t="s">
        <v>538</v>
      </c>
      <c r="H48" s="26">
        <v>1</v>
      </c>
      <c r="I48" s="26" t="s">
        <v>955</v>
      </c>
      <c r="J48" s="26" t="s">
        <v>617</v>
      </c>
      <c r="K48" s="26" t="s">
        <v>5</v>
      </c>
    </row>
    <row r="49" spans="1:11" s="4" customFormat="1" ht="90" x14ac:dyDescent="0.25">
      <c r="A49" s="26">
        <v>35</v>
      </c>
      <c r="B49" s="26" t="s">
        <v>344</v>
      </c>
      <c r="C49" s="26" t="s">
        <v>565</v>
      </c>
      <c r="D49" s="26">
        <v>1</v>
      </c>
      <c r="E49" s="26" t="s">
        <v>572</v>
      </c>
      <c r="F49" s="27" t="s">
        <v>568</v>
      </c>
      <c r="G49" s="27" t="s">
        <v>538</v>
      </c>
      <c r="H49" s="26">
        <v>1</v>
      </c>
      <c r="I49" s="26" t="s">
        <v>955</v>
      </c>
      <c r="J49" s="26" t="s">
        <v>617</v>
      </c>
      <c r="K49" s="26" t="s">
        <v>5</v>
      </c>
    </row>
    <row r="50" spans="1:11" s="4" customFormat="1" ht="90" x14ac:dyDescent="0.25">
      <c r="A50" s="26">
        <v>36</v>
      </c>
      <c r="B50" s="26" t="s">
        <v>345</v>
      </c>
      <c r="C50" s="26" t="s">
        <v>565</v>
      </c>
      <c r="D50" s="26">
        <v>1</v>
      </c>
      <c r="E50" s="26" t="s">
        <v>572</v>
      </c>
      <c r="F50" s="27" t="s">
        <v>568</v>
      </c>
      <c r="G50" s="27" t="s">
        <v>538</v>
      </c>
      <c r="H50" s="26">
        <v>1</v>
      </c>
      <c r="I50" s="26" t="s">
        <v>955</v>
      </c>
      <c r="J50" s="26" t="s">
        <v>617</v>
      </c>
      <c r="K50" s="26" t="s">
        <v>5</v>
      </c>
    </row>
    <row r="51" spans="1:11" s="4" customFormat="1" ht="90" x14ac:dyDescent="0.25">
      <c r="A51" s="26">
        <v>37</v>
      </c>
      <c r="B51" s="26" t="s">
        <v>346</v>
      </c>
      <c r="C51" s="26" t="s">
        <v>565</v>
      </c>
      <c r="D51" s="26">
        <v>1</v>
      </c>
      <c r="E51" s="26" t="s">
        <v>572</v>
      </c>
      <c r="F51" s="27" t="s">
        <v>568</v>
      </c>
      <c r="G51" s="27" t="s">
        <v>538</v>
      </c>
      <c r="H51" s="26">
        <v>1</v>
      </c>
      <c r="I51" s="26" t="s">
        <v>955</v>
      </c>
      <c r="J51" s="26" t="s">
        <v>617</v>
      </c>
      <c r="K51" s="26" t="s">
        <v>5</v>
      </c>
    </row>
    <row r="52" spans="1:11" s="4" customFormat="1" ht="75" x14ac:dyDescent="0.25">
      <c r="A52" s="26">
        <v>38</v>
      </c>
      <c r="B52" s="26" t="s">
        <v>522</v>
      </c>
      <c r="C52" s="26" t="s">
        <v>565</v>
      </c>
      <c r="D52" s="26">
        <v>1</v>
      </c>
      <c r="E52" s="26" t="s">
        <v>572</v>
      </c>
      <c r="F52" s="27" t="s">
        <v>568</v>
      </c>
      <c r="G52" s="27" t="s">
        <v>538</v>
      </c>
      <c r="H52" s="26">
        <v>1</v>
      </c>
      <c r="I52" s="26" t="s">
        <v>806</v>
      </c>
      <c r="J52" s="26" t="s">
        <v>617</v>
      </c>
      <c r="K52" s="26" t="s">
        <v>5</v>
      </c>
    </row>
  </sheetData>
  <mergeCells count="18">
    <mergeCell ref="D9:D16"/>
    <mergeCell ref="E9:E16"/>
    <mergeCell ref="F9:F16"/>
    <mergeCell ref="G9:G16"/>
    <mergeCell ref="A6:A7"/>
    <mergeCell ref="B6:B7"/>
    <mergeCell ref="A45:A47"/>
    <mergeCell ref="B45:G47"/>
    <mergeCell ref="C6:C7"/>
    <mergeCell ref="D6:D7"/>
    <mergeCell ref="E6:E7"/>
    <mergeCell ref="F6:F7"/>
    <mergeCell ref="G6:G7"/>
    <mergeCell ref="A18:A19"/>
    <mergeCell ref="B18:G19"/>
    <mergeCell ref="A9:A16"/>
    <mergeCell ref="B9:B16"/>
    <mergeCell ref="C9:C16"/>
  </mergeCells>
  <phoneticPr fontId="18" type="noConversion"/>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82E9C-B9E5-434B-9B33-6326A4308EBB}">
  <sheetPr codeName="Planilha10">
    <tabColor theme="3" tint="0.59999389629810485"/>
  </sheetPr>
  <dimension ref="A1:AMP42"/>
  <sheetViews>
    <sheetView showGridLines="0" zoomScaleNormal="100" workbookViewId="0">
      <pane ySplit="1" topLeftCell="A2" activePane="bottomLeft" state="frozen"/>
      <selection pane="bottomLeft" activeCell="B15" sqref="B15:B16"/>
    </sheetView>
  </sheetViews>
  <sheetFormatPr defaultColWidth="9.109375" defaultRowHeight="13.2" x14ac:dyDescent="0.25"/>
  <cols>
    <col min="1" max="1" width="11.44140625" style="6" bestFit="1" customWidth="1"/>
    <col min="2" max="2" width="43" style="6" customWidth="1"/>
    <col min="3" max="6" width="8.5546875" style="6" customWidth="1"/>
    <col min="7" max="7" width="35.88671875" style="6" customWidth="1"/>
    <col min="8" max="8" width="5.6640625" style="6" customWidth="1"/>
    <col min="9" max="9" width="42.88671875" style="18" customWidth="1"/>
    <col min="10" max="10" width="14.33203125" style="11" bestFit="1" customWidth="1"/>
    <col min="11" max="11" width="14.44140625" style="11" bestFit="1" customWidth="1"/>
    <col min="12" max="14" width="11.33203125" style="11" customWidth="1"/>
    <col min="15" max="15" width="16" style="11" bestFit="1" customWidth="1"/>
    <col min="16" max="1030" width="17.6640625" style="11" customWidth="1"/>
    <col min="1031" max="16384" width="9.109375" style="14"/>
  </cols>
  <sheetData>
    <row r="1" spans="1:15" s="39" customFormat="1" ht="30" customHeight="1" x14ac:dyDescent="0.25">
      <c r="A1" s="35" t="s">
        <v>524</v>
      </c>
      <c r="B1" s="35" t="s">
        <v>525</v>
      </c>
      <c r="C1" s="35" t="s">
        <v>564</v>
      </c>
      <c r="D1" s="35" t="s">
        <v>560</v>
      </c>
      <c r="E1" s="35" t="s">
        <v>556</v>
      </c>
      <c r="F1" s="35" t="s">
        <v>528</v>
      </c>
      <c r="G1" s="35" t="s">
        <v>539</v>
      </c>
      <c r="H1" s="35" t="s">
        <v>523</v>
      </c>
      <c r="I1" s="35" t="s">
        <v>0</v>
      </c>
      <c r="J1" s="35" t="s">
        <v>667</v>
      </c>
      <c r="K1" s="35" t="s">
        <v>668</v>
      </c>
      <c r="L1" s="36" t="s">
        <v>6</v>
      </c>
      <c r="M1" s="37" t="s">
        <v>7</v>
      </c>
      <c r="N1" s="38" t="s">
        <v>8</v>
      </c>
      <c r="O1" s="76" t="s">
        <v>1039</v>
      </c>
    </row>
    <row r="2" spans="1:15" s="4" customFormat="1" ht="30" x14ac:dyDescent="0.25">
      <c r="A2" s="26">
        <v>1</v>
      </c>
      <c r="B2" s="26" t="s">
        <v>11</v>
      </c>
      <c r="C2" s="26" t="s">
        <v>561</v>
      </c>
      <c r="D2" s="26">
        <v>2</v>
      </c>
      <c r="E2" s="26" t="s">
        <v>572</v>
      </c>
      <c r="F2" s="27" t="s">
        <v>567</v>
      </c>
      <c r="G2" s="27" t="s">
        <v>461</v>
      </c>
      <c r="H2" s="26">
        <v>1</v>
      </c>
      <c r="I2" s="26" t="s">
        <v>810</v>
      </c>
      <c r="J2" s="26" t="s">
        <v>617</v>
      </c>
      <c r="K2" s="26" t="s">
        <v>5</v>
      </c>
    </row>
    <row r="3" spans="1:15" s="4" customFormat="1" ht="45" x14ac:dyDescent="0.25">
      <c r="A3" s="26">
        <v>2</v>
      </c>
      <c r="B3" s="26" t="s">
        <v>12</v>
      </c>
      <c r="C3" s="26" t="s">
        <v>561</v>
      </c>
      <c r="D3" s="26">
        <v>8</v>
      </c>
      <c r="E3" s="26" t="s">
        <v>572</v>
      </c>
      <c r="F3" s="26" t="s">
        <v>567</v>
      </c>
      <c r="G3" s="26" t="s">
        <v>555</v>
      </c>
      <c r="H3" s="26">
        <v>1</v>
      </c>
      <c r="I3" s="26" t="s">
        <v>626</v>
      </c>
      <c r="J3" s="26" t="s">
        <v>617</v>
      </c>
      <c r="K3" s="26" t="s">
        <v>5</v>
      </c>
    </row>
    <row r="4" spans="1:15" s="4" customFormat="1" ht="60" x14ac:dyDescent="0.25">
      <c r="A4" s="28">
        <v>3</v>
      </c>
      <c r="B4" s="28" t="s">
        <v>220</v>
      </c>
      <c r="C4" s="28" t="s">
        <v>561</v>
      </c>
      <c r="D4" s="28">
        <v>20</v>
      </c>
      <c r="E4" s="28" t="s">
        <v>573</v>
      </c>
      <c r="F4" s="28" t="s">
        <v>571</v>
      </c>
      <c r="G4" s="28" t="s">
        <v>543</v>
      </c>
      <c r="H4" s="27">
        <v>1</v>
      </c>
      <c r="I4" s="26" t="s">
        <v>784</v>
      </c>
      <c r="J4" s="26" t="s">
        <v>617</v>
      </c>
      <c r="K4" s="26" t="s">
        <v>5</v>
      </c>
    </row>
    <row r="5" spans="1:15" s="4" customFormat="1" ht="90" x14ac:dyDescent="0.25">
      <c r="A5" s="26">
        <v>4</v>
      </c>
      <c r="B5" s="28" t="s">
        <v>221</v>
      </c>
      <c r="C5" s="137" t="s">
        <v>523</v>
      </c>
      <c r="D5" s="28">
        <v>12</v>
      </c>
      <c r="E5" s="28" t="s">
        <v>572</v>
      </c>
      <c r="F5" s="28" t="s">
        <v>567</v>
      </c>
      <c r="G5" s="28" t="s">
        <v>555</v>
      </c>
      <c r="H5" s="26">
        <v>1</v>
      </c>
      <c r="I5" s="26" t="s">
        <v>811</v>
      </c>
      <c r="J5" s="26" t="s">
        <v>617</v>
      </c>
      <c r="K5" s="26" t="s">
        <v>5</v>
      </c>
    </row>
    <row r="6" spans="1:15" s="4" customFormat="1" ht="60" x14ac:dyDescent="0.25">
      <c r="A6" s="83">
        <v>5</v>
      </c>
      <c r="B6" s="90" t="s">
        <v>179</v>
      </c>
      <c r="C6" s="90" t="s">
        <v>561</v>
      </c>
      <c r="D6" s="90">
        <v>20</v>
      </c>
      <c r="E6" s="90" t="s">
        <v>572</v>
      </c>
      <c r="F6" s="90" t="s">
        <v>571</v>
      </c>
      <c r="G6" s="90" t="s">
        <v>543</v>
      </c>
      <c r="H6" s="25">
        <v>1</v>
      </c>
      <c r="I6" s="26" t="s">
        <v>793</v>
      </c>
      <c r="J6" s="2" t="s">
        <v>617</v>
      </c>
      <c r="K6" s="2" t="s">
        <v>5</v>
      </c>
    </row>
    <row r="7" spans="1:15" s="4" customFormat="1" ht="45" x14ac:dyDescent="0.25">
      <c r="A7" s="91">
        <v>6</v>
      </c>
      <c r="B7" s="90" t="s">
        <v>469</v>
      </c>
      <c r="C7" s="90" t="s">
        <v>523</v>
      </c>
      <c r="D7" s="90">
        <v>0</v>
      </c>
      <c r="E7" s="90" t="s">
        <v>572</v>
      </c>
      <c r="F7" s="90"/>
      <c r="G7" s="90"/>
      <c r="H7" s="25">
        <v>1</v>
      </c>
      <c r="I7" s="2" t="s">
        <v>633</v>
      </c>
      <c r="J7" s="26" t="s">
        <v>617</v>
      </c>
      <c r="K7" s="26" t="s">
        <v>5</v>
      </c>
    </row>
    <row r="8" spans="1:15" s="4" customFormat="1" ht="45" x14ac:dyDescent="0.25">
      <c r="A8" s="26">
        <v>7</v>
      </c>
      <c r="B8" s="29" t="s">
        <v>491</v>
      </c>
      <c r="C8" s="17" t="s">
        <v>523</v>
      </c>
      <c r="D8" s="17">
        <v>0</v>
      </c>
      <c r="E8" s="17" t="s">
        <v>572</v>
      </c>
      <c r="F8" s="17"/>
      <c r="G8" s="17"/>
      <c r="H8" s="2">
        <v>1</v>
      </c>
      <c r="I8" s="2" t="s">
        <v>633</v>
      </c>
      <c r="J8" s="26" t="s">
        <v>617</v>
      </c>
      <c r="K8" s="26" t="s">
        <v>5</v>
      </c>
    </row>
    <row r="9" spans="1:15" s="4" customFormat="1" ht="45" x14ac:dyDescent="0.25">
      <c r="A9" s="195">
        <v>8</v>
      </c>
      <c r="B9" s="195" t="s">
        <v>492</v>
      </c>
      <c r="C9" s="195" t="s">
        <v>565</v>
      </c>
      <c r="D9" s="195">
        <v>2</v>
      </c>
      <c r="E9" s="195" t="s">
        <v>573</v>
      </c>
      <c r="F9" s="195" t="s">
        <v>567</v>
      </c>
      <c r="G9" s="195" t="s">
        <v>654</v>
      </c>
      <c r="H9" s="26">
        <v>1</v>
      </c>
      <c r="I9" s="26" t="s">
        <v>817</v>
      </c>
      <c r="J9" s="26" t="s">
        <v>617</v>
      </c>
      <c r="K9" s="26" t="s">
        <v>5</v>
      </c>
    </row>
    <row r="10" spans="1:15" s="4" customFormat="1" ht="45" x14ac:dyDescent="0.25">
      <c r="A10" s="196"/>
      <c r="B10" s="196"/>
      <c r="C10" s="196"/>
      <c r="D10" s="196"/>
      <c r="E10" s="196"/>
      <c r="F10" s="196"/>
      <c r="G10" s="196"/>
      <c r="H10" s="26">
        <v>2</v>
      </c>
      <c r="I10" s="26" t="s">
        <v>812</v>
      </c>
      <c r="J10" s="26"/>
      <c r="K10" s="26"/>
    </row>
    <row r="11" spans="1:15" s="4" customFormat="1" ht="45" x14ac:dyDescent="0.25">
      <c r="A11" s="196"/>
      <c r="B11" s="196"/>
      <c r="C11" s="196"/>
      <c r="D11" s="196"/>
      <c r="E11" s="196"/>
      <c r="F11" s="196"/>
      <c r="G11" s="196"/>
      <c r="H11" s="26">
        <v>3</v>
      </c>
      <c r="I11" s="26" t="s">
        <v>813</v>
      </c>
      <c r="J11" s="26" t="s">
        <v>617</v>
      </c>
      <c r="K11" s="26" t="s">
        <v>5</v>
      </c>
    </row>
    <row r="12" spans="1:15" s="4" customFormat="1" ht="45" x14ac:dyDescent="0.25">
      <c r="A12" s="196"/>
      <c r="B12" s="196"/>
      <c r="C12" s="196"/>
      <c r="D12" s="196"/>
      <c r="E12" s="196"/>
      <c r="F12" s="196"/>
      <c r="G12" s="196"/>
      <c r="H12" s="26">
        <v>4</v>
      </c>
      <c r="I12" s="26" t="s">
        <v>814</v>
      </c>
      <c r="J12" s="26" t="s">
        <v>617</v>
      </c>
      <c r="K12" s="26" t="s">
        <v>5</v>
      </c>
    </row>
    <row r="13" spans="1:15" s="4" customFormat="1" ht="45" x14ac:dyDescent="0.25">
      <c r="A13" s="196"/>
      <c r="B13" s="196"/>
      <c r="C13" s="196"/>
      <c r="D13" s="196"/>
      <c r="E13" s="196"/>
      <c r="F13" s="196"/>
      <c r="G13" s="196"/>
      <c r="H13" s="26">
        <v>5</v>
      </c>
      <c r="I13" s="26" t="s">
        <v>815</v>
      </c>
      <c r="J13" s="26" t="s">
        <v>617</v>
      </c>
      <c r="K13" s="26" t="s">
        <v>5</v>
      </c>
    </row>
    <row r="14" spans="1:15" s="4" customFormat="1" ht="45" x14ac:dyDescent="0.25">
      <c r="A14" s="197"/>
      <c r="B14" s="196"/>
      <c r="C14" s="196"/>
      <c r="D14" s="196"/>
      <c r="E14" s="196"/>
      <c r="F14" s="196"/>
      <c r="G14" s="196"/>
      <c r="H14" s="26">
        <v>6</v>
      </c>
      <c r="I14" s="26" t="s">
        <v>816</v>
      </c>
      <c r="J14" s="26" t="s">
        <v>617</v>
      </c>
      <c r="K14" s="26" t="s">
        <v>5</v>
      </c>
    </row>
    <row r="15" spans="1:15" s="4" customFormat="1" ht="90" x14ac:dyDescent="0.25">
      <c r="A15" s="216">
        <v>9</v>
      </c>
      <c r="B15" s="218" t="s">
        <v>1282</v>
      </c>
      <c r="C15" s="200" t="s">
        <v>565</v>
      </c>
      <c r="D15" s="200">
        <v>4</v>
      </c>
      <c r="E15" s="200" t="s">
        <v>573</v>
      </c>
      <c r="F15" s="200" t="s">
        <v>567</v>
      </c>
      <c r="G15" s="200" t="s">
        <v>555</v>
      </c>
      <c r="H15" s="25">
        <v>1</v>
      </c>
      <c r="I15" s="26" t="s">
        <v>1230</v>
      </c>
      <c r="J15" s="26" t="s">
        <v>617</v>
      </c>
      <c r="K15" s="26" t="s">
        <v>5</v>
      </c>
    </row>
    <row r="16" spans="1:15" s="4" customFormat="1" ht="60" x14ac:dyDescent="0.25">
      <c r="A16" s="217"/>
      <c r="B16" s="219"/>
      <c r="C16" s="201"/>
      <c r="D16" s="201"/>
      <c r="E16" s="201"/>
      <c r="F16" s="201"/>
      <c r="G16" s="201"/>
      <c r="H16" s="4">
        <v>2</v>
      </c>
      <c r="I16" s="138" t="s">
        <v>1255</v>
      </c>
      <c r="J16" s="26" t="s">
        <v>617</v>
      </c>
      <c r="K16" s="26" t="s">
        <v>5</v>
      </c>
    </row>
    <row r="17" spans="1:11" s="15" customFormat="1" ht="62.4" x14ac:dyDescent="0.25">
      <c r="A17" s="31" t="s">
        <v>977</v>
      </c>
      <c r="B17" s="210" t="s">
        <v>493</v>
      </c>
      <c r="C17" s="211"/>
      <c r="D17" s="211"/>
      <c r="E17" s="211"/>
      <c r="F17" s="211"/>
      <c r="G17" s="212"/>
      <c r="H17" s="31">
        <v>1</v>
      </c>
      <c r="I17" s="31" t="s">
        <v>1225</v>
      </c>
      <c r="J17" s="31" t="s">
        <v>617</v>
      </c>
      <c r="K17" s="31" t="s">
        <v>5</v>
      </c>
    </row>
    <row r="18" spans="1:11" s="4" customFormat="1" ht="45" x14ac:dyDescent="0.25">
      <c r="A18" s="26">
        <v>10</v>
      </c>
      <c r="B18" s="26" t="s">
        <v>494</v>
      </c>
      <c r="C18" s="26" t="s">
        <v>565</v>
      </c>
      <c r="D18" s="26">
        <v>1</v>
      </c>
      <c r="E18" s="26" t="s">
        <v>572</v>
      </c>
      <c r="F18" s="27" t="s">
        <v>568</v>
      </c>
      <c r="G18" s="27" t="s">
        <v>538</v>
      </c>
      <c r="H18" s="26">
        <v>1</v>
      </c>
      <c r="I18" s="26" t="s">
        <v>1224</v>
      </c>
      <c r="J18" s="26" t="s">
        <v>617</v>
      </c>
      <c r="K18" s="26" t="s">
        <v>5</v>
      </c>
    </row>
    <row r="19" spans="1:11" s="4" customFormat="1" ht="45" x14ac:dyDescent="0.25">
      <c r="A19" s="26">
        <v>11</v>
      </c>
      <c r="B19" s="26" t="s">
        <v>495</v>
      </c>
      <c r="C19" s="26" t="s">
        <v>565</v>
      </c>
      <c r="D19" s="26">
        <v>1</v>
      </c>
      <c r="E19" s="26" t="s">
        <v>572</v>
      </c>
      <c r="F19" s="27" t="s">
        <v>568</v>
      </c>
      <c r="G19" s="27" t="s">
        <v>538</v>
      </c>
      <c r="H19" s="26">
        <v>1</v>
      </c>
      <c r="I19" s="26" t="s">
        <v>1224</v>
      </c>
      <c r="J19" s="26" t="s">
        <v>617</v>
      </c>
      <c r="K19" s="26" t="s">
        <v>5</v>
      </c>
    </row>
    <row r="20" spans="1:11" s="4" customFormat="1" ht="45" x14ac:dyDescent="0.25">
      <c r="A20" s="26">
        <v>12</v>
      </c>
      <c r="B20" s="26" t="s">
        <v>496</v>
      </c>
      <c r="C20" s="26" t="s">
        <v>565</v>
      </c>
      <c r="D20" s="26">
        <v>1</v>
      </c>
      <c r="E20" s="26" t="s">
        <v>572</v>
      </c>
      <c r="F20" s="27" t="s">
        <v>568</v>
      </c>
      <c r="G20" s="27" t="s">
        <v>538</v>
      </c>
      <c r="H20" s="26">
        <v>1</v>
      </c>
      <c r="I20" s="26" t="s">
        <v>1224</v>
      </c>
      <c r="J20" s="26" t="s">
        <v>617</v>
      </c>
      <c r="K20" s="26" t="s">
        <v>5</v>
      </c>
    </row>
    <row r="21" spans="1:11" s="4" customFormat="1" ht="45" x14ac:dyDescent="0.25">
      <c r="A21" s="26">
        <v>13</v>
      </c>
      <c r="B21" s="26" t="s">
        <v>497</v>
      </c>
      <c r="C21" s="26" t="s">
        <v>565</v>
      </c>
      <c r="D21" s="26">
        <v>1</v>
      </c>
      <c r="E21" s="26" t="s">
        <v>572</v>
      </c>
      <c r="F21" s="27" t="s">
        <v>568</v>
      </c>
      <c r="G21" s="27" t="s">
        <v>538</v>
      </c>
      <c r="H21" s="26">
        <v>1</v>
      </c>
      <c r="I21" s="26" t="s">
        <v>1224</v>
      </c>
      <c r="J21" s="26" t="s">
        <v>617</v>
      </c>
      <c r="K21" s="26" t="s">
        <v>5</v>
      </c>
    </row>
    <row r="22" spans="1:11" s="4" customFormat="1" ht="45" x14ac:dyDescent="0.25">
      <c r="A22" s="26">
        <v>14</v>
      </c>
      <c r="B22" s="26" t="s">
        <v>498</v>
      </c>
      <c r="C22" s="26" t="s">
        <v>565</v>
      </c>
      <c r="D22" s="26">
        <v>1</v>
      </c>
      <c r="E22" s="26" t="s">
        <v>572</v>
      </c>
      <c r="F22" s="27" t="s">
        <v>568</v>
      </c>
      <c r="G22" s="27" t="s">
        <v>538</v>
      </c>
      <c r="H22" s="26">
        <v>1</v>
      </c>
      <c r="I22" s="26" t="s">
        <v>1224</v>
      </c>
      <c r="J22" s="26" t="s">
        <v>617</v>
      </c>
      <c r="K22" s="26" t="s">
        <v>5</v>
      </c>
    </row>
    <row r="23" spans="1:11" s="4" customFormat="1" ht="45" x14ac:dyDescent="0.25">
      <c r="A23" s="26">
        <v>15</v>
      </c>
      <c r="B23" s="26" t="s">
        <v>499</v>
      </c>
      <c r="C23" s="26" t="s">
        <v>565</v>
      </c>
      <c r="D23" s="26">
        <v>1</v>
      </c>
      <c r="E23" s="26" t="s">
        <v>572</v>
      </c>
      <c r="F23" s="27" t="s">
        <v>568</v>
      </c>
      <c r="G23" s="27" t="s">
        <v>538</v>
      </c>
      <c r="H23" s="26">
        <v>1</v>
      </c>
      <c r="I23" s="26" t="s">
        <v>1224</v>
      </c>
      <c r="J23" s="26" t="s">
        <v>617</v>
      </c>
      <c r="K23" s="26" t="s">
        <v>5</v>
      </c>
    </row>
    <row r="24" spans="1:11" s="4" customFormat="1" ht="45" x14ac:dyDescent="0.25">
      <c r="A24" s="26">
        <v>16</v>
      </c>
      <c r="B24" s="26" t="s">
        <v>500</v>
      </c>
      <c r="C24" s="26" t="s">
        <v>565</v>
      </c>
      <c r="D24" s="26">
        <v>1</v>
      </c>
      <c r="E24" s="26" t="s">
        <v>572</v>
      </c>
      <c r="F24" s="27" t="s">
        <v>568</v>
      </c>
      <c r="G24" s="27" t="s">
        <v>538</v>
      </c>
      <c r="H24" s="26">
        <v>1</v>
      </c>
      <c r="I24" s="26" t="s">
        <v>1224</v>
      </c>
      <c r="J24" s="26" t="s">
        <v>617</v>
      </c>
      <c r="K24" s="26" t="s">
        <v>5</v>
      </c>
    </row>
    <row r="25" spans="1:11" s="4" customFormat="1" ht="45" x14ac:dyDescent="0.25">
      <c r="A25" s="26">
        <v>17</v>
      </c>
      <c r="B25" s="26" t="s">
        <v>501</v>
      </c>
      <c r="C25" s="26" t="s">
        <v>565</v>
      </c>
      <c r="D25" s="26">
        <v>1</v>
      </c>
      <c r="E25" s="26" t="s">
        <v>572</v>
      </c>
      <c r="F25" s="27" t="s">
        <v>568</v>
      </c>
      <c r="G25" s="27" t="s">
        <v>538</v>
      </c>
      <c r="H25" s="26">
        <v>1</v>
      </c>
      <c r="I25" s="26" t="s">
        <v>1224</v>
      </c>
      <c r="J25" s="26" t="s">
        <v>617</v>
      </c>
      <c r="K25" s="26" t="s">
        <v>5</v>
      </c>
    </row>
    <row r="26" spans="1:11" s="4" customFormat="1" ht="45" x14ac:dyDescent="0.25">
      <c r="A26" s="26">
        <v>18</v>
      </c>
      <c r="B26" s="26" t="s">
        <v>502</v>
      </c>
      <c r="C26" s="26" t="s">
        <v>565</v>
      </c>
      <c r="D26" s="26">
        <v>1</v>
      </c>
      <c r="E26" s="26" t="s">
        <v>572</v>
      </c>
      <c r="F26" s="27" t="s">
        <v>568</v>
      </c>
      <c r="G26" s="27" t="s">
        <v>538</v>
      </c>
      <c r="H26" s="26">
        <v>1</v>
      </c>
      <c r="I26" s="26" t="s">
        <v>1224</v>
      </c>
      <c r="J26" s="26" t="s">
        <v>617</v>
      </c>
      <c r="K26" s="26" t="s">
        <v>5</v>
      </c>
    </row>
    <row r="27" spans="1:11" s="4" customFormat="1" ht="45" x14ac:dyDescent="0.25">
      <c r="A27" s="26">
        <v>19</v>
      </c>
      <c r="B27" s="26" t="s">
        <v>503</v>
      </c>
      <c r="C27" s="26" t="s">
        <v>565</v>
      </c>
      <c r="D27" s="26">
        <v>1</v>
      </c>
      <c r="E27" s="26" t="s">
        <v>572</v>
      </c>
      <c r="F27" s="27" t="s">
        <v>568</v>
      </c>
      <c r="G27" s="27" t="s">
        <v>538</v>
      </c>
      <c r="H27" s="26">
        <v>1</v>
      </c>
      <c r="I27" s="26" t="s">
        <v>1224</v>
      </c>
      <c r="J27" s="26" t="s">
        <v>617</v>
      </c>
      <c r="K27" s="26" t="s">
        <v>5</v>
      </c>
    </row>
    <row r="28" spans="1:11" s="4" customFormat="1" ht="45" x14ac:dyDescent="0.25">
      <c r="A28" s="26">
        <v>20</v>
      </c>
      <c r="B28" s="26" t="s">
        <v>504</v>
      </c>
      <c r="C28" s="26" t="s">
        <v>565</v>
      </c>
      <c r="D28" s="26">
        <v>1</v>
      </c>
      <c r="E28" s="26" t="s">
        <v>572</v>
      </c>
      <c r="F28" s="27" t="s">
        <v>568</v>
      </c>
      <c r="G28" s="27" t="s">
        <v>538</v>
      </c>
      <c r="H28" s="26">
        <v>1</v>
      </c>
      <c r="I28" s="26" t="s">
        <v>1224</v>
      </c>
      <c r="J28" s="26" t="s">
        <v>617</v>
      </c>
      <c r="K28" s="26" t="s">
        <v>5</v>
      </c>
    </row>
    <row r="29" spans="1:11" s="4" customFormat="1" ht="105" x14ac:dyDescent="0.25">
      <c r="A29" s="26">
        <v>21</v>
      </c>
      <c r="B29" s="26" t="s">
        <v>505</v>
      </c>
      <c r="C29" s="26" t="s">
        <v>565</v>
      </c>
      <c r="D29" s="26">
        <v>1</v>
      </c>
      <c r="E29" s="26" t="s">
        <v>572</v>
      </c>
      <c r="F29" s="27" t="s">
        <v>568</v>
      </c>
      <c r="G29" s="27" t="s">
        <v>818</v>
      </c>
      <c r="H29" s="26">
        <v>1</v>
      </c>
      <c r="I29" s="26" t="s">
        <v>1226</v>
      </c>
      <c r="J29" s="26" t="s">
        <v>617</v>
      </c>
      <c r="K29" s="26" t="s">
        <v>5</v>
      </c>
    </row>
    <row r="30" spans="1:11" s="4" customFormat="1" ht="90" x14ac:dyDescent="0.25">
      <c r="A30" s="26">
        <v>22</v>
      </c>
      <c r="B30" s="26" t="s">
        <v>506</v>
      </c>
      <c r="C30" s="26" t="s">
        <v>565</v>
      </c>
      <c r="D30" s="26">
        <v>1</v>
      </c>
      <c r="E30" s="26" t="s">
        <v>572</v>
      </c>
      <c r="F30" s="27" t="s">
        <v>568</v>
      </c>
      <c r="G30" s="27" t="s">
        <v>819</v>
      </c>
      <c r="H30" s="26">
        <v>1</v>
      </c>
      <c r="I30" s="26" t="s">
        <v>1227</v>
      </c>
      <c r="J30" s="26" t="s">
        <v>617</v>
      </c>
      <c r="K30" s="26" t="s">
        <v>5</v>
      </c>
    </row>
    <row r="31" spans="1:11" s="4" customFormat="1" ht="60" x14ac:dyDescent="0.25">
      <c r="A31" s="26">
        <v>23</v>
      </c>
      <c r="B31" s="26" t="s">
        <v>507</v>
      </c>
      <c r="C31" s="26" t="s">
        <v>565</v>
      </c>
      <c r="D31" s="26">
        <v>1</v>
      </c>
      <c r="E31" s="26" t="s">
        <v>572</v>
      </c>
      <c r="F31" s="27" t="s">
        <v>568</v>
      </c>
      <c r="G31" s="27" t="s">
        <v>820</v>
      </c>
      <c r="H31" s="26">
        <v>1</v>
      </c>
      <c r="I31" s="26" t="s">
        <v>821</v>
      </c>
      <c r="J31" s="26" t="s">
        <v>617</v>
      </c>
      <c r="K31" s="26" t="s">
        <v>5</v>
      </c>
    </row>
    <row r="32" spans="1:11" s="15" customFormat="1" ht="31.2" x14ac:dyDescent="0.25">
      <c r="A32" s="31" t="s">
        <v>978</v>
      </c>
      <c r="B32" s="213" t="s">
        <v>508</v>
      </c>
      <c r="C32" s="214"/>
      <c r="D32" s="214"/>
      <c r="E32" s="214"/>
      <c r="F32" s="214"/>
      <c r="G32" s="215"/>
      <c r="H32" s="31">
        <v>1</v>
      </c>
      <c r="I32" s="31" t="str">
        <f>"Os campos "&amp;A32&amp;" não podem ser todos 0 ou todos 1"</f>
        <v>Os campos 24 a 33 não podem ser todos 0 ou todos 1</v>
      </c>
      <c r="J32" s="31" t="s">
        <v>617</v>
      </c>
      <c r="K32" s="31" t="s">
        <v>5</v>
      </c>
    </row>
    <row r="33" spans="1:11" s="4" customFormat="1" ht="60" x14ac:dyDescent="0.25">
      <c r="A33" s="26">
        <v>24</v>
      </c>
      <c r="B33" s="26" t="s">
        <v>509</v>
      </c>
      <c r="C33" s="26" t="s">
        <v>565</v>
      </c>
      <c r="D33" s="26">
        <v>1</v>
      </c>
      <c r="E33" s="26" t="s">
        <v>572</v>
      </c>
      <c r="F33" s="27" t="s">
        <v>568</v>
      </c>
      <c r="G33" s="27" t="s">
        <v>538</v>
      </c>
      <c r="H33" s="26">
        <v>1</v>
      </c>
      <c r="I33" s="26" t="s">
        <v>822</v>
      </c>
      <c r="J33" s="26" t="s">
        <v>617</v>
      </c>
      <c r="K33" s="26" t="s">
        <v>5</v>
      </c>
    </row>
    <row r="34" spans="1:11" s="4" customFormat="1" ht="60" x14ac:dyDescent="0.25">
      <c r="A34" s="26">
        <v>25</v>
      </c>
      <c r="B34" s="26" t="s">
        <v>510</v>
      </c>
      <c r="C34" s="26" t="s">
        <v>565</v>
      </c>
      <c r="D34" s="26">
        <v>1</v>
      </c>
      <c r="E34" s="26" t="s">
        <v>572</v>
      </c>
      <c r="F34" s="27" t="s">
        <v>568</v>
      </c>
      <c r="G34" s="27" t="s">
        <v>538</v>
      </c>
      <c r="H34" s="26">
        <v>1</v>
      </c>
      <c r="I34" s="26" t="s">
        <v>822</v>
      </c>
      <c r="J34" s="26" t="s">
        <v>617</v>
      </c>
      <c r="K34" s="26" t="s">
        <v>5</v>
      </c>
    </row>
    <row r="35" spans="1:11" s="4" customFormat="1" ht="60" x14ac:dyDescent="0.25">
      <c r="A35" s="26">
        <v>26</v>
      </c>
      <c r="B35" s="26" t="s">
        <v>511</v>
      </c>
      <c r="C35" s="26" t="s">
        <v>565</v>
      </c>
      <c r="D35" s="26">
        <v>1</v>
      </c>
      <c r="E35" s="26" t="s">
        <v>572</v>
      </c>
      <c r="F35" s="27" t="s">
        <v>568</v>
      </c>
      <c r="G35" s="27" t="s">
        <v>538</v>
      </c>
      <c r="H35" s="26">
        <v>1</v>
      </c>
      <c r="I35" s="26" t="s">
        <v>822</v>
      </c>
      <c r="J35" s="26" t="s">
        <v>617</v>
      </c>
      <c r="K35" s="26" t="s">
        <v>5</v>
      </c>
    </row>
    <row r="36" spans="1:11" s="4" customFormat="1" ht="60" x14ac:dyDescent="0.25">
      <c r="A36" s="26">
        <v>27</v>
      </c>
      <c r="B36" s="26" t="s">
        <v>512</v>
      </c>
      <c r="C36" s="26" t="s">
        <v>565</v>
      </c>
      <c r="D36" s="26">
        <v>1</v>
      </c>
      <c r="E36" s="26" t="s">
        <v>572</v>
      </c>
      <c r="F36" s="27" t="s">
        <v>568</v>
      </c>
      <c r="G36" s="27" t="s">
        <v>538</v>
      </c>
      <c r="H36" s="26">
        <v>1</v>
      </c>
      <c r="I36" s="26" t="s">
        <v>822</v>
      </c>
      <c r="J36" s="26" t="s">
        <v>617</v>
      </c>
      <c r="K36" s="26" t="s">
        <v>5</v>
      </c>
    </row>
    <row r="37" spans="1:11" s="4" customFormat="1" ht="60" x14ac:dyDescent="0.25">
      <c r="A37" s="26">
        <v>28</v>
      </c>
      <c r="B37" s="26" t="s">
        <v>513</v>
      </c>
      <c r="C37" s="26" t="s">
        <v>565</v>
      </c>
      <c r="D37" s="26">
        <v>1</v>
      </c>
      <c r="E37" s="26" t="s">
        <v>572</v>
      </c>
      <c r="F37" s="27" t="s">
        <v>568</v>
      </c>
      <c r="G37" s="27" t="s">
        <v>538</v>
      </c>
      <c r="H37" s="26">
        <v>1</v>
      </c>
      <c r="I37" s="26" t="s">
        <v>822</v>
      </c>
      <c r="J37" s="26" t="s">
        <v>617</v>
      </c>
      <c r="K37" s="26" t="s">
        <v>5</v>
      </c>
    </row>
    <row r="38" spans="1:11" s="4" customFormat="1" ht="60" x14ac:dyDescent="0.25">
      <c r="A38" s="26">
        <v>29</v>
      </c>
      <c r="B38" s="26" t="s">
        <v>514</v>
      </c>
      <c r="C38" s="26" t="s">
        <v>565</v>
      </c>
      <c r="D38" s="26">
        <v>1</v>
      </c>
      <c r="E38" s="26" t="s">
        <v>572</v>
      </c>
      <c r="F38" s="27" t="s">
        <v>568</v>
      </c>
      <c r="G38" s="27" t="s">
        <v>538</v>
      </c>
      <c r="H38" s="26">
        <v>1</v>
      </c>
      <c r="I38" s="26" t="s">
        <v>822</v>
      </c>
      <c r="J38" s="26" t="s">
        <v>617</v>
      </c>
      <c r="K38" s="26" t="s">
        <v>5</v>
      </c>
    </row>
    <row r="39" spans="1:11" s="4" customFormat="1" ht="60" x14ac:dyDescent="0.25">
      <c r="A39" s="26">
        <v>30</v>
      </c>
      <c r="B39" s="26" t="s">
        <v>515</v>
      </c>
      <c r="C39" s="26" t="s">
        <v>565</v>
      </c>
      <c r="D39" s="26">
        <v>1</v>
      </c>
      <c r="E39" s="26" t="s">
        <v>572</v>
      </c>
      <c r="F39" s="27" t="s">
        <v>568</v>
      </c>
      <c r="G39" s="27" t="s">
        <v>538</v>
      </c>
      <c r="H39" s="26">
        <v>1</v>
      </c>
      <c r="I39" s="26" t="s">
        <v>822</v>
      </c>
      <c r="J39" s="26" t="s">
        <v>617</v>
      </c>
      <c r="K39" s="26" t="s">
        <v>5</v>
      </c>
    </row>
    <row r="40" spans="1:11" s="4" customFormat="1" ht="60" x14ac:dyDescent="0.25">
      <c r="A40" s="26">
        <v>31</v>
      </c>
      <c r="B40" s="26" t="s">
        <v>516</v>
      </c>
      <c r="C40" s="26" t="s">
        <v>565</v>
      </c>
      <c r="D40" s="26">
        <v>1</v>
      </c>
      <c r="E40" s="26" t="s">
        <v>572</v>
      </c>
      <c r="F40" s="27" t="s">
        <v>568</v>
      </c>
      <c r="G40" s="27" t="s">
        <v>538</v>
      </c>
      <c r="H40" s="26">
        <v>1</v>
      </c>
      <c r="I40" s="26" t="s">
        <v>822</v>
      </c>
      <c r="J40" s="26" t="s">
        <v>617</v>
      </c>
      <c r="K40" s="26" t="s">
        <v>5</v>
      </c>
    </row>
    <row r="41" spans="1:11" s="4" customFormat="1" ht="60" x14ac:dyDescent="0.25">
      <c r="A41" s="26">
        <v>32</v>
      </c>
      <c r="B41" s="26" t="s">
        <v>517</v>
      </c>
      <c r="C41" s="26" t="s">
        <v>565</v>
      </c>
      <c r="D41" s="26">
        <v>1</v>
      </c>
      <c r="E41" s="26" t="s">
        <v>572</v>
      </c>
      <c r="F41" s="27" t="s">
        <v>568</v>
      </c>
      <c r="G41" s="27" t="s">
        <v>538</v>
      </c>
      <c r="H41" s="26">
        <v>1</v>
      </c>
      <c r="I41" s="26" t="s">
        <v>822</v>
      </c>
      <c r="J41" s="26" t="s">
        <v>617</v>
      </c>
      <c r="K41" s="26" t="s">
        <v>5</v>
      </c>
    </row>
    <row r="42" spans="1:11" s="4" customFormat="1" ht="60" x14ac:dyDescent="0.25">
      <c r="A42" s="26">
        <v>33</v>
      </c>
      <c r="B42" s="26" t="s">
        <v>518</v>
      </c>
      <c r="C42" s="26" t="s">
        <v>565</v>
      </c>
      <c r="D42" s="26">
        <v>1</v>
      </c>
      <c r="E42" s="26" t="s">
        <v>572</v>
      </c>
      <c r="F42" s="27" t="s">
        <v>568</v>
      </c>
      <c r="G42" s="27" t="s">
        <v>538</v>
      </c>
      <c r="H42" s="26">
        <v>1</v>
      </c>
      <c r="I42" s="26" t="s">
        <v>822</v>
      </c>
      <c r="J42" s="26" t="s">
        <v>617</v>
      </c>
      <c r="K42" s="26" t="s">
        <v>5</v>
      </c>
    </row>
  </sheetData>
  <mergeCells count="16">
    <mergeCell ref="B32:G32"/>
    <mergeCell ref="A9:A14"/>
    <mergeCell ref="B9:B14"/>
    <mergeCell ref="C9:C14"/>
    <mergeCell ref="D9:D14"/>
    <mergeCell ref="E9:E14"/>
    <mergeCell ref="F9:F14"/>
    <mergeCell ref="G9:G14"/>
    <mergeCell ref="B17:G17"/>
    <mergeCell ref="A15:A16"/>
    <mergeCell ref="B15:B16"/>
    <mergeCell ref="C15:C16"/>
    <mergeCell ref="D15:D16"/>
    <mergeCell ref="E15:E16"/>
    <mergeCell ref="F15:F16"/>
    <mergeCell ref="G15:G16"/>
  </mergeCells>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1EFB-F62E-487C-B231-AB558B8EA83A}">
  <sheetPr codeName="Planilha11">
    <tabColor theme="9" tint="0.79998168889431442"/>
  </sheetPr>
  <dimension ref="A1:A7"/>
  <sheetViews>
    <sheetView showGridLines="0" workbookViewId="0"/>
  </sheetViews>
  <sheetFormatPr defaultColWidth="9.109375" defaultRowHeight="13.2" x14ac:dyDescent="0.25"/>
  <cols>
    <col min="1" max="1" width="17.5546875" style="111" customWidth="1"/>
    <col min="2" max="2" width="48.33203125" style="111" customWidth="1"/>
    <col min="3" max="1025" width="8.6640625" style="111" customWidth="1"/>
    <col min="1026" max="16384" width="9.109375" style="111"/>
  </cols>
  <sheetData>
    <row r="1" spans="1:1" s="113" customFormat="1" ht="17.399999999999999" x14ac:dyDescent="0.3">
      <c r="A1" s="113" t="s">
        <v>829</v>
      </c>
    </row>
    <row r="2" spans="1:1" s="113" customFormat="1" ht="17.399999999999999" x14ac:dyDescent="0.3"/>
    <row r="3" spans="1:1" x14ac:dyDescent="0.25">
      <c r="A3" s="112" t="s">
        <v>280</v>
      </c>
    </row>
    <row r="5" spans="1:1" x14ac:dyDescent="0.25">
      <c r="A5" s="112" t="s">
        <v>826</v>
      </c>
    </row>
    <row r="6" spans="1:1" x14ac:dyDescent="0.25">
      <c r="A6" s="112" t="s">
        <v>827</v>
      </c>
    </row>
    <row r="7" spans="1:1" x14ac:dyDescent="0.25">
      <c r="A7" s="112" t="s">
        <v>828</v>
      </c>
    </row>
  </sheetData>
  <sheetProtection sheet="1" objects="1" scenarios="1"/>
  <pageMargins left="0.51180555555555496" right="0.51180555555555496" top="0.78749999999999998" bottom="0.78749999999999998" header="0.51180555555555496" footer="0.51180555555555496"/>
  <pageSetup paperSize="9" firstPageNumber="0"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12">
    <tabColor theme="9" tint="0.79998168889431442"/>
  </sheetPr>
  <dimension ref="A1:E45"/>
  <sheetViews>
    <sheetView showGridLines="0" workbookViewId="0">
      <pane ySplit="5" topLeftCell="A15" activePane="bottomLeft" state="frozen"/>
      <selection pane="bottomLeft" activeCell="C6" sqref="C6"/>
    </sheetView>
  </sheetViews>
  <sheetFormatPr defaultColWidth="9.109375" defaultRowHeight="13.2" x14ac:dyDescent="0.25"/>
  <cols>
    <col min="1" max="1" width="9.33203125" style="32" customWidth="1"/>
    <col min="2" max="2" width="87.88671875" style="32" customWidth="1"/>
    <col min="3" max="3" width="6.5546875" style="32" customWidth="1"/>
    <col min="4" max="4" width="11.44140625" style="32" customWidth="1"/>
    <col min="5" max="5" width="6" style="32" customWidth="1"/>
    <col min="6" max="1024" width="8.6640625" style="32" customWidth="1"/>
    <col min="1025" max="16384" width="9.109375" style="32"/>
  </cols>
  <sheetData>
    <row r="1" spans="1:5" s="33" customFormat="1" ht="17.399999999999999" x14ac:dyDescent="0.3">
      <c r="A1" s="33" t="s">
        <v>830</v>
      </c>
    </row>
    <row r="2" spans="1:5" s="33" customFormat="1" ht="17.399999999999999" x14ac:dyDescent="0.3"/>
    <row r="3" spans="1:5" x14ac:dyDescent="0.25">
      <c r="A3" s="32" t="s">
        <v>281</v>
      </c>
    </row>
    <row r="5" spans="1:5" s="34" customFormat="1" ht="12" x14ac:dyDescent="0.2">
      <c r="A5" s="42" t="s">
        <v>9</v>
      </c>
      <c r="B5" s="42" t="s">
        <v>10</v>
      </c>
      <c r="C5" s="42" t="s">
        <v>282</v>
      </c>
      <c r="D5" s="42" t="s">
        <v>283</v>
      </c>
      <c r="E5" s="42" t="s">
        <v>284</v>
      </c>
    </row>
    <row r="6" spans="1:5" x14ac:dyDescent="0.25">
      <c r="A6" s="43">
        <v>1</v>
      </c>
      <c r="B6" s="44" t="s">
        <v>11</v>
      </c>
      <c r="C6" s="45" t="s">
        <v>285</v>
      </c>
      <c r="D6" s="45" t="s">
        <v>285</v>
      </c>
      <c r="E6" s="45" t="s">
        <v>285</v>
      </c>
    </row>
    <row r="7" spans="1:5" x14ac:dyDescent="0.25">
      <c r="A7" s="43">
        <v>2</v>
      </c>
      <c r="B7" s="44" t="s">
        <v>12</v>
      </c>
      <c r="C7" s="45" t="s">
        <v>285</v>
      </c>
      <c r="D7" s="45" t="s">
        <v>285</v>
      </c>
      <c r="E7" s="45" t="s">
        <v>285</v>
      </c>
    </row>
    <row r="8" spans="1:5" x14ac:dyDescent="0.25">
      <c r="A8" s="43">
        <v>3</v>
      </c>
      <c r="B8" s="44" t="s">
        <v>220</v>
      </c>
      <c r="C8" s="45" t="s">
        <v>285</v>
      </c>
      <c r="D8" s="45" t="s">
        <v>285</v>
      </c>
      <c r="E8" s="45" t="s">
        <v>285</v>
      </c>
    </row>
    <row r="9" spans="1:5" x14ac:dyDescent="0.25">
      <c r="A9" s="43">
        <v>4</v>
      </c>
      <c r="B9" s="44" t="s">
        <v>221</v>
      </c>
      <c r="C9" s="45" t="s">
        <v>285</v>
      </c>
      <c r="D9" s="45" t="s">
        <v>285</v>
      </c>
      <c r="E9" s="45" t="s">
        <v>285</v>
      </c>
    </row>
    <row r="10" spans="1:5" x14ac:dyDescent="0.25">
      <c r="A10" s="43">
        <v>5</v>
      </c>
      <c r="B10" s="44" t="s">
        <v>222</v>
      </c>
      <c r="C10" s="45" t="s">
        <v>285</v>
      </c>
      <c r="D10" s="45" t="s">
        <v>285</v>
      </c>
      <c r="E10" s="45" t="s">
        <v>285</v>
      </c>
    </row>
    <row r="11" spans="1:5" x14ac:dyDescent="0.25">
      <c r="A11" s="43">
        <v>6</v>
      </c>
      <c r="B11" s="44" t="s">
        <v>223</v>
      </c>
      <c r="C11" s="45" t="s">
        <v>285</v>
      </c>
      <c r="D11" s="45" t="s">
        <v>285</v>
      </c>
      <c r="E11" s="45" t="s">
        <v>285</v>
      </c>
    </row>
    <row r="12" spans="1:5" x14ac:dyDescent="0.25">
      <c r="A12" s="43">
        <v>7</v>
      </c>
      <c r="B12" s="44" t="s">
        <v>224</v>
      </c>
      <c r="C12" s="45" t="s">
        <v>285</v>
      </c>
      <c r="D12" s="45" t="s">
        <v>285</v>
      </c>
      <c r="E12" s="45" t="s">
        <v>285</v>
      </c>
    </row>
    <row r="13" spans="1:5" x14ac:dyDescent="0.25">
      <c r="A13" s="43">
        <v>8</v>
      </c>
      <c r="B13" s="44" t="s">
        <v>225</v>
      </c>
      <c r="C13" s="45" t="s">
        <v>285</v>
      </c>
      <c r="D13" s="45" t="s">
        <v>285</v>
      </c>
      <c r="E13" s="45" t="s">
        <v>285</v>
      </c>
    </row>
    <row r="14" spans="1:5" x14ac:dyDescent="0.25">
      <c r="A14" s="43">
        <v>9</v>
      </c>
      <c r="B14" s="44" t="s">
        <v>226</v>
      </c>
      <c r="C14" s="45" t="s">
        <v>285</v>
      </c>
      <c r="D14" s="45" t="s">
        <v>285</v>
      </c>
      <c r="E14" s="45" t="s">
        <v>285</v>
      </c>
    </row>
    <row r="15" spans="1:5" x14ac:dyDescent="0.25">
      <c r="A15" s="43">
        <v>10</v>
      </c>
      <c r="B15" s="44" t="s">
        <v>227</v>
      </c>
      <c r="C15" s="45" t="s">
        <v>285</v>
      </c>
      <c r="D15" s="45" t="s">
        <v>285</v>
      </c>
      <c r="E15" s="45" t="s">
        <v>285</v>
      </c>
    </row>
    <row r="16" spans="1:5" x14ac:dyDescent="0.25">
      <c r="A16" s="43">
        <v>11</v>
      </c>
      <c r="B16" s="44" t="s">
        <v>228</v>
      </c>
      <c r="C16" s="45" t="s">
        <v>285</v>
      </c>
      <c r="D16" s="45" t="s">
        <v>285</v>
      </c>
      <c r="E16" s="45" t="s">
        <v>285</v>
      </c>
    </row>
    <row r="17" spans="1:5" x14ac:dyDescent="0.25">
      <c r="A17" s="43">
        <v>12</v>
      </c>
      <c r="B17" s="44" t="s">
        <v>229</v>
      </c>
      <c r="C17" s="45" t="s">
        <v>285</v>
      </c>
      <c r="D17" s="45" t="s">
        <v>285</v>
      </c>
      <c r="E17" s="45" t="s">
        <v>285</v>
      </c>
    </row>
    <row r="18" spans="1:5" x14ac:dyDescent="0.25">
      <c r="A18" s="43" t="s">
        <v>440</v>
      </c>
      <c r="B18" s="44" t="s">
        <v>423</v>
      </c>
      <c r="C18" s="45"/>
      <c r="D18" s="45"/>
      <c r="E18" s="45" t="s">
        <v>285</v>
      </c>
    </row>
    <row r="19" spans="1:5" x14ac:dyDescent="0.25">
      <c r="A19" s="43" t="s">
        <v>441</v>
      </c>
      <c r="B19" s="44" t="s">
        <v>230</v>
      </c>
      <c r="C19" s="45" t="s">
        <v>285</v>
      </c>
      <c r="D19" s="45" t="s">
        <v>285</v>
      </c>
      <c r="E19" s="45" t="s">
        <v>285</v>
      </c>
    </row>
    <row r="20" spans="1:5" x14ac:dyDescent="0.25">
      <c r="A20" s="43" t="s">
        <v>442</v>
      </c>
      <c r="B20" s="44" t="s">
        <v>286</v>
      </c>
      <c r="C20" s="45" t="s">
        <v>285</v>
      </c>
      <c r="D20" s="45" t="s">
        <v>285</v>
      </c>
      <c r="E20" s="45" t="s">
        <v>285</v>
      </c>
    </row>
    <row r="21" spans="1:5" x14ac:dyDescent="0.25">
      <c r="A21" s="43" t="s">
        <v>443</v>
      </c>
      <c r="B21" s="44" t="s">
        <v>231</v>
      </c>
      <c r="C21" s="45" t="s">
        <v>285</v>
      </c>
      <c r="D21" s="45" t="s">
        <v>285</v>
      </c>
      <c r="E21" s="45" t="s">
        <v>285</v>
      </c>
    </row>
    <row r="22" spans="1:5" x14ac:dyDescent="0.25">
      <c r="A22" s="43" t="s">
        <v>427</v>
      </c>
      <c r="B22" s="44" t="s">
        <v>424</v>
      </c>
      <c r="C22" s="45" t="s">
        <v>285</v>
      </c>
      <c r="D22" s="45" t="s">
        <v>285</v>
      </c>
      <c r="E22" s="45" t="s">
        <v>285</v>
      </c>
    </row>
    <row r="23" spans="1:5" x14ac:dyDescent="0.25">
      <c r="A23" s="43" t="s">
        <v>438</v>
      </c>
      <c r="B23" s="44" t="s">
        <v>430</v>
      </c>
      <c r="C23" s="45"/>
      <c r="D23" s="45"/>
      <c r="E23" s="45" t="s">
        <v>285</v>
      </c>
    </row>
    <row r="24" spans="1:5" x14ac:dyDescent="0.25">
      <c r="A24" s="43" t="s">
        <v>449</v>
      </c>
      <c r="B24" s="44" t="s">
        <v>351</v>
      </c>
      <c r="C24" s="45"/>
      <c r="D24" s="45"/>
      <c r="E24" s="45" t="s">
        <v>285</v>
      </c>
    </row>
    <row r="25" spans="1:5" x14ac:dyDescent="0.25">
      <c r="A25" s="43" t="s">
        <v>451</v>
      </c>
      <c r="B25" s="44" t="s">
        <v>288</v>
      </c>
      <c r="C25" s="45"/>
      <c r="D25" s="45"/>
      <c r="E25" s="45" t="s">
        <v>285</v>
      </c>
    </row>
    <row r="26" spans="1:5" x14ac:dyDescent="0.25">
      <c r="A26" s="43" t="s">
        <v>452</v>
      </c>
      <c r="B26" s="44" t="s">
        <v>352</v>
      </c>
      <c r="C26" s="45" t="s">
        <v>285</v>
      </c>
      <c r="D26" s="45" t="s">
        <v>285</v>
      </c>
      <c r="E26" s="45" t="s">
        <v>285</v>
      </c>
    </row>
    <row r="27" spans="1:5" x14ac:dyDescent="0.25">
      <c r="A27" s="43" t="s">
        <v>453</v>
      </c>
      <c r="B27" s="44" t="s">
        <v>17</v>
      </c>
      <c r="C27" s="45" t="s">
        <v>285</v>
      </c>
      <c r="D27" s="45" t="s">
        <v>285</v>
      </c>
      <c r="E27" s="45" t="s">
        <v>285</v>
      </c>
    </row>
    <row r="28" spans="1:5" x14ac:dyDescent="0.25">
      <c r="A28" s="43" t="s">
        <v>454</v>
      </c>
      <c r="B28" s="44" t="s">
        <v>251</v>
      </c>
      <c r="C28" s="45" t="s">
        <v>285</v>
      </c>
      <c r="D28" s="45" t="s">
        <v>285</v>
      </c>
      <c r="E28" s="45" t="s">
        <v>285</v>
      </c>
    </row>
    <row r="29" spans="1:5" x14ac:dyDescent="0.25">
      <c r="A29" s="43" t="s">
        <v>455</v>
      </c>
      <c r="B29" s="44" t="s">
        <v>252</v>
      </c>
      <c r="C29" s="45" t="s">
        <v>285</v>
      </c>
      <c r="D29" s="45" t="s">
        <v>285</v>
      </c>
      <c r="E29" s="45" t="s">
        <v>285</v>
      </c>
    </row>
    <row r="30" spans="1:5" x14ac:dyDescent="0.25">
      <c r="A30" s="43" t="s">
        <v>456</v>
      </c>
      <c r="B30" s="44" t="s">
        <v>327</v>
      </c>
      <c r="C30" s="45" t="s">
        <v>285</v>
      </c>
      <c r="D30" s="45" t="s">
        <v>285</v>
      </c>
      <c r="E30" s="45" t="s">
        <v>285</v>
      </c>
    </row>
    <row r="31" spans="1:5" x14ac:dyDescent="0.25">
      <c r="A31" s="43" t="s">
        <v>457</v>
      </c>
      <c r="B31" s="44" t="s">
        <v>325</v>
      </c>
      <c r="C31" s="45" t="s">
        <v>285</v>
      </c>
      <c r="D31" s="45" t="s">
        <v>285</v>
      </c>
      <c r="E31" s="45"/>
    </row>
    <row r="32" spans="1:5" x14ac:dyDescent="0.25">
      <c r="A32" s="43" t="s">
        <v>458</v>
      </c>
      <c r="B32" s="44" t="s">
        <v>253</v>
      </c>
      <c r="C32" s="45" t="s">
        <v>285</v>
      </c>
      <c r="D32" s="45" t="s">
        <v>285</v>
      </c>
      <c r="E32" s="45"/>
    </row>
    <row r="33" spans="1:5" x14ac:dyDescent="0.25">
      <c r="A33" s="43" t="s">
        <v>459</v>
      </c>
      <c r="B33" s="44" t="s">
        <v>254</v>
      </c>
      <c r="C33" s="45" t="s">
        <v>285</v>
      </c>
      <c r="D33" s="45" t="s">
        <v>285</v>
      </c>
      <c r="E33" s="45"/>
    </row>
    <row r="34" spans="1:5" x14ac:dyDescent="0.25">
      <c r="A34" s="43" t="s">
        <v>460</v>
      </c>
      <c r="B34" s="44" t="s">
        <v>341</v>
      </c>
      <c r="C34" s="45" t="s">
        <v>285</v>
      </c>
      <c r="D34" s="45" t="s">
        <v>285</v>
      </c>
      <c r="E34" s="45"/>
    </row>
    <row r="35" spans="1:5" x14ac:dyDescent="0.25">
      <c r="A35" s="43" t="s">
        <v>461</v>
      </c>
      <c r="B35" s="44" t="s">
        <v>289</v>
      </c>
      <c r="C35" s="45" t="s">
        <v>285</v>
      </c>
      <c r="D35" s="45" t="s">
        <v>285</v>
      </c>
      <c r="E35" s="45"/>
    </row>
    <row r="36" spans="1:5" x14ac:dyDescent="0.25">
      <c r="A36" s="43" t="s">
        <v>462</v>
      </c>
      <c r="B36" s="44" t="s">
        <v>255</v>
      </c>
      <c r="C36" s="45" t="s">
        <v>285</v>
      </c>
      <c r="D36" s="45" t="s">
        <v>285</v>
      </c>
      <c r="E36" s="45"/>
    </row>
    <row r="37" spans="1:5" x14ac:dyDescent="0.25">
      <c r="A37" s="43" t="s">
        <v>463</v>
      </c>
      <c r="B37" s="44" t="s">
        <v>340</v>
      </c>
      <c r="C37" s="45" t="s">
        <v>285</v>
      </c>
      <c r="D37" s="45" t="s">
        <v>285</v>
      </c>
      <c r="E37" s="45"/>
    </row>
    <row r="38" spans="1:5" x14ac:dyDescent="0.25">
      <c r="A38" s="43" t="s">
        <v>464</v>
      </c>
      <c r="B38" s="44" t="s">
        <v>290</v>
      </c>
      <c r="C38" s="45" t="s">
        <v>285</v>
      </c>
      <c r="D38" s="45" t="s">
        <v>285</v>
      </c>
      <c r="E38" s="45"/>
    </row>
    <row r="39" spans="1:5" x14ac:dyDescent="0.25">
      <c r="A39" s="43" t="s">
        <v>465</v>
      </c>
      <c r="B39" s="44" t="s">
        <v>256</v>
      </c>
      <c r="C39" s="45" t="s">
        <v>285</v>
      </c>
      <c r="D39" s="45" t="s">
        <v>285</v>
      </c>
      <c r="E39" s="45"/>
    </row>
    <row r="40" spans="1:5" x14ac:dyDescent="0.25">
      <c r="A40" s="43" t="s">
        <v>466</v>
      </c>
      <c r="B40" s="44" t="s">
        <v>342</v>
      </c>
      <c r="C40" s="45" t="s">
        <v>285</v>
      </c>
      <c r="D40" s="45" t="s">
        <v>285</v>
      </c>
      <c r="E40" s="45"/>
    </row>
    <row r="41" spans="1:5" x14ac:dyDescent="0.25">
      <c r="A41" s="43" t="s">
        <v>467</v>
      </c>
      <c r="B41" s="44" t="s">
        <v>257</v>
      </c>
      <c r="C41" s="45" t="s">
        <v>285</v>
      </c>
      <c r="D41" s="45" t="s">
        <v>285</v>
      </c>
      <c r="E41" s="45"/>
    </row>
    <row r="42" spans="1:5" x14ac:dyDescent="0.25">
      <c r="A42" s="43" t="s">
        <v>446</v>
      </c>
      <c r="B42" s="44" t="s">
        <v>313</v>
      </c>
      <c r="C42" s="45" t="s">
        <v>285</v>
      </c>
      <c r="D42" s="45" t="s">
        <v>285</v>
      </c>
      <c r="E42" s="45"/>
    </row>
    <row r="43" spans="1:5" x14ac:dyDescent="0.25">
      <c r="A43" s="43" t="s">
        <v>447</v>
      </c>
      <c r="B43" s="44" t="s">
        <v>261</v>
      </c>
      <c r="C43" s="45" t="s">
        <v>285</v>
      </c>
      <c r="D43" s="45" t="s">
        <v>285</v>
      </c>
      <c r="E43" s="45"/>
    </row>
    <row r="44" spans="1:5" x14ac:dyDescent="0.25">
      <c r="A44" s="43" t="s">
        <v>448</v>
      </c>
      <c r="B44" s="44" t="s">
        <v>263</v>
      </c>
      <c r="C44" s="45" t="s">
        <v>285</v>
      </c>
      <c r="D44" s="45" t="s">
        <v>285</v>
      </c>
      <c r="E44" s="45"/>
    </row>
    <row r="45" spans="1:5" x14ac:dyDescent="0.25">
      <c r="A45" s="43" t="s">
        <v>468</v>
      </c>
      <c r="B45" s="44" t="s">
        <v>277</v>
      </c>
      <c r="C45" s="45" t="s">
        <v>285</v>
      </c>
      <c r="D45" s="45"/>
      <c r="E45" s="45"/>
    </row>
  </sheetData>
  <sheetProtection sheet="1" objects="1" scenarios="1"/>
  <pageMargins left="0.51180555555555496" right="0.51180555555555496" top="0.78749999999999998" bottom="0.78749999999999998" header="0.51180555555555496" footer="0.51180555555555496"/>
  <pageSetup paperSize="9" firstPageNumber="0" orientation="portrait" horizontalDpi="300" verticalDpi="300" r:id="rId1"/>
  <ignoredErrors>
    <ignoredError sqref="A18:A21 A25:A4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D9C4C-D282-45D3-A185-EB54F1CA7693}">
  <sheetPr codeName="Planilha13">
    <tabColor theme="9" tint="0.79998168889431442"/>
  </sheetPr>
  <dimension ref="A1:D45"/>
  <sheetViews>
    <sheetView showGridLines="0" workbookViewId="0">
      <selection activeCell="A4" sqref="A4"/>
    </sheetView>
  </sheetViews>
  <sheetFormatPr defaultColWidth="9.109375" defaultRowHeight="18" x14ac:dyDescent="0.35"/>
  <cols>
    <col min="1" max="1" width="9.109375" style="20" bestFit="1" customWidth="1"/>
    <col min="2" max="2" width="66.6640625" style="20" customWidth="1"/>
    <col min="3" max="3" width="18.44140625" style="20" bestFit="1" customWidth="1"/>
    <col min="4" max="4" width="19.5546875" style="21" customWidth="1"/>
    <col min="5" max="16384" width="9.109375" style="19"/>
  </cols>
  <sheetData>
    <row r="1" spans="1:4" s="33" customFormat="1" ht="17.399999999999999" x14ac:dyDescent="0.3">
      <c r="A1" s="33" t="s">
        <v>831</v>
      </c>
    </row>
    <row r="2" spans="1:4" s="33" customFormat="1" ht="17.399999999999999" x14ac:dyDescent="0.3"/>
    <row r="3" spans="1:4" x14ac:dyDescent="0.35">
      <c r="A3" s="220" t="s">
        <v>711</v>
      </c>
      <c r="B3" s="220"/>
      <c r="C3" s="220"/>
      <c r="D3" s="220"/>
    </row>
    <row r="4" spans="1:4" s="7" customFormat="1" ht="10.199999999999999" x14ac:dyDescent="0.25">
      <c r="A4" s="5" t="s">
        <v>707</v>
      </c>
      <c r="B4" s="5" t="s">
        <v>706</v>
      </c>
      <c r="C4" s="5" t="s">
        <v>709</v>
      </c>
      <c r="D4" s="5" t="s">
        <v>710</v>
      </c>
    </row>
    <row r="5" spans="1:4" ht="15" x14ac:dyDescent="0.3">
      <c r="A5" s="2">
        <v>40</v>
      </c>
      <c r="B5" s="2" t="s">
        <v>716</v>
      </c>
      <c r="C5" s="2">
        <v>18</v>
      </c>
      <c r="D5" s="2">
        <v>95</v>
      </c>
    </row>
    <row r="6" spans="1:4" ht="15" x14ac:dyDescent="0.3">
      <c r="A6" s="2">
        <v>50</v>
      </c>
      <c r="B6" s="2" t="s">
        <v>717</v>
      </c>
      <c r="C6" s="2">
        <v>14</v>
      </c>
      <c r="D6" s="2">
        <v>95</v>
      </c>
    </row>
    <row r="8" spans="1:4" x14ac:dyDescent="0.35">
      <c r="A8" s="220" t="s">
        <v>718</v>
      </c>
      <c r="B8" s="220"/>
      <c r="C8" s="220"/>
      <c r="D8" s="220"/>
    </row>
    <row r="9" spans="1:4" s="7" customFormat="1" ht="10.199999999999999" x14ac:dyDescent="0.25">
      <c r="A9" s="5" t="s">
        <v>708</v>
      </c>
      <c r="B9" s="5" t="s">
        <v>708</v>
      </c>
      <c r="C9" s="5" t="s">
        <v>709</v>
      </c>
      <c r="D9" s="5" t="s">
        <v>710</v>
      </c>
    </row>
    <row r="10" spans="1:4" ht="15" x14ac:dyDescent="0.3">
      <c r="A10" s="2">
        <v>1</v>
      </c>
      <c r="B10" s="2" t="s">
        <v>678</v>
      </c>
      <c r="C10" s="2">
        <v>0</v>
      </c>
      <c r="D10" s="2">
        <v>6</v>
      </c>
    </row>
    <row r="11" spans="1:4" ht="15" x14ac:dyDescent="0.3">
      <c r="A11" s="2">
        <v>2</v>
      </c>
      <c r="B11" s="2" t="s">
        <v>679</v>
      </c>
      <c r="C11" s="2">
        <v>3</v>
      </c>
      <c r="D11" s="2">
        <v>9</v>
      </c>
    </row>
    <row r="12" spans="1:4" ht="15" x14ac:dyDescent="0.3">
      <c r="A12" s="2">
        <v>14</v>
      </c>
      <c r="B12" s="2" t="s">
        <v>680</v>
      </c>
      <c r="C12" s="2">
        <v>4</v>
      </c>
      <c r="D12" s="2">
        <v>50</v>
      </c>
    </row>
    <row r="13" spans="1:4" ht="15" x14ac:dyDescent="0.3">
      <c r="A13" s="2">
        <v>15</v>
      </c>
      <c r="B13" s="2" t="s">
        <v>681</v>
      </c>
      <c r="C13" s="2">
        <v>5</v>
      </c>
      <c r="D13" s="2">
        <v>50</v>
      </c>
    </row>
    <row r="14" spans="1:4" ht="15" x14ac:dyDescent="0.3">
      <c r="A14" s="2">
        <v>16</v>
      </c>
      <c r="B14" s="2" t="s">
        <v>682</v>
      </c>
      <c r="C14" s="2">
        <v>5</v>
      </c>
      <c r="D14" s="2">
        <v>50</v>
      </c>
    </row>
    <row r="15" spans="1:4" ht="15" x14ac:dyDescent="0.3">
      <c r="A15" s="2">
        <v>17</v>
      </c>
      <c r="B15" s="2" t="s">
        <v>683</v>
      </c>
      <c r="C15" s="2">
        <v>6</v>
      </c>
      <c r="D15" s="2">
        <v>50</v>
      </c>
    </row>
    <row r="16" spans="1:4" ht="15" x14ac:dyDescent="0.3">
      <c r="A16" s="2">
        <v>18</v>
      </c>
      <c r="B16" s="2" t="s">
        <v>684</v>
      </c>
      <c r="C16" s="2">
        <v>7</v>
      </c>
      <c r="D16" s="2">
        <v>50</v>
      </c>
    </row>
    <row r="17" spans="1:4" ht="15" x14ac:dyDescent="0.3">
      <c r="A17" s="2">
        <v>19</v>
      </c>
      <c r="B17" s="2" t="s">
        <v>685</v>
      </c>
      <c r="C17" s="2">
        <v>8</v>
      </c>
      <c r="D17" s="2">
        <v>50</v>
      </c>
    </row>
    <row r="18" spans="1:4" ht="15" x14ac:dyDescent="0.3">
      <c r="A18" s="2">
        <v>20</v>
      </c>
      <c r="B18" s="2" t="s">
        <v>686</v>
      </c>
      <c r="C18" s="2">
        <v>9</v>
      </c>
      <c r="D18" s="2">
        <v>50</v>
      </c>
    </row>
    <row r="19" spans="1:4" ht="15" x14ac:dyDescent="0.3">
      <c r="A19" s="2">
        <v>21</v>
      </c>
      <c r="B19" s="2" t="s">
        <v>687</v>
      </c>
      <c r="C19" s="2">
        <v>10</v>
      </c>
      <c r="D19" s="2">
        <v>50</v>
      </c>
    </row>
    <row r="20" spans="1:4" ht="15" x14ac:dyDescent="0.3">
      <c r="A20" s="2">
        <v>41</v>
      </c>
      <c r="B20" s="2" t="s">
        <v>688</v>
      </c>
      <c r="C20" s="2">
        <v>12</v>
      </c>
      <c r="D20" s="2">
        <v>50</v>
      </c>
    </row>
    <row r="21" spans="1:4" ht="15" x14ac:dyDescent="0.3">
      <c r="A21" s="2">
        <v>25</v>
      </c>
      <c r="B21" s="2" t="s">
        <v>692</v>
      </c>
      <c r="C21" s="2">
        <v>12</v>
      </c>
      <c r="D21" s="2">
        <v>58</v>
      </c>
    </row>
    <row r="22" spans="1:4" ht="15" x14ac:dyDescent="0.3">
      <c r="A22" s="2">
        <v>26</v>
      </c>
      <c r="B22" s="2" t="s">
        <v>693</v>
      </c>
      <c r="C22" s="2">
        <v>12</v>
      </c>
      <c r="D22" s="2">
        <v>58</v>
      </c>
    </row>
    <row r="23" spans="1:4" ht="15" x14ac:dyDescent="0.3">
      <c r="A23" s="2">
        <v>27</v>
      </c>
      <c r="B23" s="2" t="s">
        <v>694</v>
      </c>
      <c r="C23" s="2">
        <v>12</v>
      </c>
      <c r="D23" s="2">
        <v>58</v>
      </c>
    </row>
    <row r="24" spans="1:4" ht="15" x14ac:dyDescent="0.3">
      <c r="A24" s="2">
        <v>28</v>
      </c>
      <c r="B24" s="2" t="s">
        <v>695</v>
      </c>
      <c r="C24" s="2">
        <v>12</v>
      </c>
      <c r="D24" s="2">
        <v>58</v>
      </c>
    </row>
    <row r="25" spans="1:4" ht="15" x14ac:dyDescent="0.3">
      <c r="A25" s="2">
        <v>29</v>
      </c>
      <c r="B25" s="2" t="s">
        <v>696</v>
      </c>
      <c r="C25" s="2">
        <v>12</v>
      </c>
      <c r="D25" s="2">
        <v>58</v>
      </c>
    </row>
    <row r="26" spans="1:4" ht="15" x14ac:dyDescent="0.3">
      <c r="A26" s="2">
        <v>35</v>
      </c>
      <c r="B26" s="2" t="s">
        <v>697</v>
      </c>
      <c r="C26" s="2">
        <v>12</v>
      </c>
      <c r="D26" s="2">
        <v>58</v>
      </c>
    </row>
    <row r="27" spans="1:4" ht="15" x14ac:dyDescent="0.3">
      <c r="A27" s="2">
        <v>36</v>
      </c>
      <c r="B27" s="2" t="s">
        <v>698</v>
      </c>
      <c r="C27" s="2">
        <v>12</v>
      </c>
      <c r="D27" s="2">
        <v>58</v>
      </c>
    </row>
    <row r="28" spans="1:4" ht="15" x14ac:dyDescent="0.3">
      <c r="A28" s="2">
        <v>37</v>
      </c>
      <c r="B28" s="2" t="s">
        <v>699</v>
      </c>
      <c r="C28" s="2">
        <v>12</v>
      </c>
      <c r="D28" s="2">
        <v>58</v>
      </c>
    </row>
    <row r="29" spans="1:4" ht="15" x14ac:dyDescent="0.3">
      <c r="A29" s="2">
        <v>38</v>
      </c>
      <c r="B29" s="2" t="s">
        <v>700</v>
      </c>
      <c r="C29" s="2">
        <v>12</v>
      </c>
      <c r="D29" s="2">
        <v>58</v>
      </c>
    </row>
    <row r="30" spans="1:4" ht="15" x14ac:dyDescent="0.3">
      <c r="A30" s="2">
        <v>69</v>
      </c>
      <c r="B30" s="2" t="s">
        <v>689</v>
      </c>
      <c r="C30" s="2">
        <v>12</v>
      </c>
      <c r="D30" s="2">
        <v>93</v>
      </c>
    </row>
    <row r="31" spans="1:4" ht="15" x14ac:dyDescent="0.3">
      <c r="A31" s="2">
        <v>70</v>
      </c>
      <c r="B31" s="2" t="s">
        <v>690</v>
      </c>
      <c r="C31" s="2">
        <v>12</v>
      </c>
      <c r="D31" s="2">
        <v>93</v>
      </c>
    </row>
    <row r="32" spans="1:4" ht="15" x14ac:dyDescent="0.3">
      <c r="A32" s="2">
        <v>71</v>
      </c>
      <c r="B32" s="2" t="s">
        <v>691</v>
      </c>
      <c r="C32" s="2">
        <v>15</v>
      </c>
      <c r="D32" s="2">
        <v>93</v>
      </c>
    </row>
    <row r="33" spans="1:4" ht="30" x14ac:dyDescent="0.3">
      <c r="A33" s="2">
        <v>74</v>
      </c>
      <c r="B33" s="2" t="s">
        <v>703</v>
      </c>
      <c r="C33" s="2">
        <v>15</v>
      </c>
      <c r="D33" s="2">
        <v>94</v>
      </c>
    </row>
    <row r="34" spans="1:4" ht="15" x14ac:dyDescent="0.3">
      <c r="A34" s="2">
        <v>67</v>
      </c>
      <c r="B34" s="2" t="s">
        <v>704</v>
      </c>
      <c r="C34" s="2">
        <v>15</v>
      </c>
      <c r="D34" s="2">
        <v>94</v>
      </c>
    </row>
    <row r="35" spans="1:4" ht="15" x14ac:dyDescent="0.3">
      <c r="A35" s="2">
        <v>73</v>
      </c>
      <c r="B35" s="2" t="s">
        <v>705</v>
      </c>
      <c r="C35" s="2">
        <v>12</v>
      </c>
      <c r="D35" s="2">
        <v>94</v>
      </c>
    </row>
    <row r="36" spans="1:4" ht="15" x14ac:dyDescent="0.3">
      <c r="A36" s="2">
        <v>39</v>
      </c>
      <c r="B36" s="2" t="s">
        <v>701</v>
      </c>
      <c r="C36" s="2">
        <v>13</v>
      </c>
      <c r="D36" s="2">
        <v>58</v>
      </c>
    </row>
    <row r="37" spans="1:4" ht="15" x14ac:dyDescent="0.3">
      <c r="A37" s="2">
        <v>40</v>
      </c>
      <c r="B37" s="2" t="s">
        <v>702</v>
      </c>
      <c r="C37" s="2">
        <v>13</v>
      </c>
      <c r="D37" s="2">
        <v>75</v>
      </c>
    </row>
    <row r="38" spans="1:4" ht="15" x14ac:dyDescent="0.3">
      <c r="A38" s="2">
        <v>68</v>
      </c>
      <c r="B38" s="2" t="s">
        <v>1089</v>
      </c>
      <c r="C38" s="2">
        <v>12</v>
      </c>
      <c r="D38" s="2">
        <v>94</v>
      </c>
    </row>
    <row r="39" spans="1:4" ht="15" x14ac:dyDescent="0.3">
      <c r="A39" s="2">
        <v>75</v>
      </c>
      <c r="B39" s="2" t="s">
        <v>1090</v>
      </c>
      <c r="C39" s="2">
        <v>12</v>
      </c>
      <c r="D39" s="2">
        <v>94</v>
      </c>
    </row>
    <row r="41" spans="1:4" x14ac:dyDescent="0.35">
      <c r="A41" s="220" t="s">
        <v>719</v>
      </c>
      <c r="B41" s="220"/>
      <c r="C41" s="220"/>
      <c r="D41" s="220"/>
    </row>
    <row r="42" spans="1:4" ht="13.5" customHeight="1" x14ac:dyDescent="0.3">
      <c r="A42" s="5"/>
      <c r="B42" s="5" t="s">
        <v>712</v>
      </c>
      <c r="C42" s="5" t="s">
        <v>709</v>
      </c>
      <c r="D42" s="5" t="s">
        <v>710</v>
      </c>
    </row>
    <row r="43" spans="1:4" ht="15" x14ac:dyDescent="0.3">
      <c r="A43" s="2"/>
      <c r="B43" s="2" t="s">
        <v>713</v>
      </c>
      <c r="C43" s="2">
        <v>12</v>
      </c>
      <c r="D43" s="2">
        <v>94</v>
      </c>
    </row>
    <row r="44" spans="1:4" ht="30" x14ac:dyDescent="0.3">
      <c r="A44" s="2"/>
      <c r="B44" s="2" t="s">
        <v>714</v>
      </c>
      <c r="C44" s="2">
        <v>12</v>
      </c>
      <c r="D44" s="2">
        <v>94</v>
      </c>
    </row>
    <row r="45" spans="1:4" ht="15" x14ac:dyDescent="0.3">
      <c r="A45" s="2"/>
      <c r="B45" s="2" t="s">
        <v>715</v>
      </c>
      <c r="C45" s="2">
        <v>18</v>
      </c>
      <c r="D45" s="2">
        <v>94</v>
      </c>
    </row>
  </sheetData>
  <sheetProtection sheet="1" objects="1" scenarios="1"/>
  <mergeCells count="3">
    <mergeCell ref="A3:D3"/>
    <mergeCell ref="A8:D8"/>
    <mergeCell ref="A41:D41"/>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76452-1A40-4177-885E-C0FF2F635F99}">
  <sheetPr>
    <tabColor theme="9" tint="0.79998168889431442"/>
  </sheetPr>
  <dimension ref="A1:K37"/>
  <sheetViews>
    <sheetView showGridLines="0" zoomScaleNormal="100" workbookViewId="0">
      <selection activeCell="C5" sqref="C5:J5"/>
    </sheetView>
  </sheetViews>
  <sheetFormatPr defaultColWidth="9.109375" defaultRowHeight="13.2" x14ac:dyDescent="0.25"/>
  <cols>
    <col min="1" max="1" width="20" style="120" customWidth="1"/>
    <col min="2" max="17" width="17.5546875" style="120" customWidth="1"/>
    <col min="18" max="16384" width="9.109375" style="120"/>
  </cols>
  <sheetData>
    <row r="1" spans="1:11" s="113" customFormat="1" ht="17.399999999999999" x14ac:dyDescent="0.3">
      <c r="A1" s="113" t="s">
        <v>832</v>
      </c>
    </row>
    <row r="2" spans="1:11" s="113" customFormat="1" ht="17.399999999999999" x14ac:dyDescent="0.3"/>
    <row r="3" spans="1:11" ht="18" x14ac:dyDescent="0.25">
      <c r="A3" s="118" t="s">
        <v>737</v>
      </c>
      <c r="B3" s="118"/>
      <c r="C3" s="118"/>
      <c r="D3" s="118"/>
      <c r="E3" s="119"/>
      <c r="F3" s="119"/>
      <c r="G3" s="119"/>
      <c r="H3" s="119"/>
      <c r="I3" s="119"/>
      <c r="J3" s="119"/>
      <c r="K3" s="119"/>
    </row>
    <row r="4" spans="1:11" ht="18" x14ac:dyDescent="0.25">
      <c r="A4" s="221" t="s">
        <v>4</v>
      </c>
      <c r="B4" s="121" t="s">
        <v>285</v>
      </c>
      <c r="C4" s="223" t="s">
        <v>746</v>
      </c>
      <c r="D4" s="223"/>
      <c r="E4" s="223"/>
      <c r="F4" s="223"/>
      <c r="G4" s="223"/>
      <c r="H4" s="223"/>
      <c r="I4" s="223"/>
      <c r="J4" s="224"/>
      <c r="K4" s="122"/>
    </row>
    <row r="5" spans="1:11" ht="18" x14ac:dyDescent="0.25">
      <c r="A5" s="222"/>
      <c r="B5" s="124" t="s">
        <v>745</v>
      </c>
      <c r="C5" s="225" t="s">
        <v>747</v>
      </c>
      <c r="D5" s="225"/>
      <c r="E5" s="225"/>
      <c r="F5" s="225"/>
      <c r="G5" s="225"/>
      <c r="H5" s="225"/>
      <c r="I5" s="225"/>
      <c r="J5" s="226"/>
      <c r="K5" s="122"/>
    </row>
    <row r="6" spans="1:11" ht="18" x14ac:dyDescent="0.25">
      <c r="A6" s="123"/>
      <c r="B6" s="123"/>
      <c r="C6" s="226" t="s">
        <v>1025</v>
      </c>
      <c r="D6" s="227"/>
      <c r="E6" s="227"/>
      <c r="F6" s="227"/>
      <c r="G6" s="227"/>
      <c r="H6" s="227"/>
      <c r="I6" s="227"/>
      <c r="J6" s="227"/>
      <c r="K6" s="122"/>
    </row>
    <row r="7" spans="1:11" s="129" customFormat="1" ht="20.399999999999999" x14ac:dyDescent="0.25">
      <c r="A7" s="125" t="s">
        <v>744</v>
      </c>
      <c r="B7" s="126" t="s">
        <v>234</v>
      </c>
      <c r="C7" s="126" t="s">
        <v>233</v>
      </c>
      <c r="D7" s="126" t="s">
        <v>375</v>
      </c>
      <c r="E7" s="126" t="s">
        <v>236</v>
      </c>
      <c r="F7" s="126" t="s">
        <v>235</v>
      </c>
      <c r="G7" s="126" t="s">
        <v>237</v>
      </c>
      <c r="H7" s="126" t="s">
        <v>238</v>
      </c>
      <c r="I7" s="126" t="s">
        <v>239</v>
      </c>
      <c r="J7" s="127" t="s">
        <v>241</v>
      </c>
      <c r="K7" s="128" t="s">
        <v>1251</v>
      </c>
    </row>
    <row r="8" spans="1:11" s="129" customFormat="1" ht="18" x14ac:dyDescent="0.25">
      <c r="A8" s="125" t="s">
        <v>242</v>
      </c>
      <c r="B8" s="121" t="s">
        <v>285</v>
      </c>
      <c r="C8" s="121" t="s">
        <v>285</v>
      </c>
      <c r="D8" s="121" t="s">
        <v>285</v>
      </c>
      <c r="E8" s="130"/>
      <c r="F8" s="131" t="s">
        <v>745</v>
      </c>
      <c r="G8" s="121" t="s">
        <v>285</v>
      </c>
      <c r="H8" s="121" t="s">
        <v>285</v>
      </c>
      <c r="I8" s="121" t="s">
        <v>285</v>
      </c>
      <c r="J8" s="121" t="s">
        <v>285</v>
      </c>
      <c r="K8" s="132"/>
    </row>
    <row r="9" spans="1:11" s="129" customFormat="1" ht="18" x14ac:dyDescent="0.25">
      <c r="A9" s="125" t="s">
        <v>738</v>
      </c>
      <c r="B9" s="121" t="s">
        <v>285</v>
      </c>
      <c r="C9" s="121" t="s">
        <v>285</v>
      </c>
      <c r="D9" s="121" t="s">
        <v>285</v>
      </c>
      <c r="E9" s="130"/>
      <c r="F9" s="130"/>
      <c r="G9" s="121" t="s">
        <v>285</v>
      </c>
      <c r="H9" s="121" t="s">
        <v>285</v>
      </c>
      <c r="I9" s="121" t="s">
        <v>285</v>
      </c>
      <c r="J9" s="121" t="s">
        <v>285</v>
      </c>
      <c r="K9" s="132"/>
    </row>
    <row r="10" spans="1:11" s="129" customFormat="1" ht="18" x14ac:dyDescent="0.25">
      <c r="A10" s="125" t="s">
        <v>244</v>
      </c>
      <c r="B10" s="130"/>
      <c r="C10" s="130"/>
      <c r="D10" s="130"/>
      <c r="E10" s="130"/>
      <c r="F10" s="130"/>
      <c r="G10" s="121" t="s">
        <v>285</v>
      </c>
      <c r="H10" s="130"/>
      <c r="I10" s="130"/>
      <c r="J10" s="132"/>
      <c r="K10" s="132"/>
    </row>
    <row r="11" spans="1:11" s="129" customFormat="1" ht="20.399999999999999" x14ac:dyDescent="0.25">
      <c r="A11" s="125" t="s">
        <v>245</v>
      </c>
      <c r="B11" s="130"/>
      <c r="C11" s="131" t="s">
        <v>745</v>
      </c>
      <c r="D11" s="130"/>
      <c r="E11" s="121" t="s">
        <v>285</v>
      </c>
      <c r="F11" s="121" t="s">
        <v>285</v>
      </c>
      <c r="G11" s="121" t="s">
        <v>285</v>
      </c>
      <c r="H11" s="130"/>
      <c r="I11" s="130"/>
      <c r="J11" s="132"/>
      <c r="K11" s="132"/>
    </row>
    <row r="12" spans="1:11" s="129" customFormat="1" ht="18" x14ac:dyDescent="0.25">
      <c r="A12" s="125" t="s">
        <v>246</v>
      </c>
      <c r="B12" s="130"/>
      <c r="C12" s="131" t="s">
        <v>745</v>
      </c>
      <c r="D12" s="130"/>
      <c r="E12" s="121" t="s">
        <v>285</v>
      </c>
      <c r="F12" s="121" t="s">
        <v>285</v>
      </c>
      <c r="G12" s="121" t="s">
        <v>285</v>
      </c>
      <c r="H12" s="130"/>
      <c r="I12" s="130"/>
      <c r="J12" s="132"/>
      <c r="K12" s="132"/>
    </row>
    <row r="13" spans="1:11" s="129" customFormat="1" ht="20.399999999999999" x14ac:dyDescent="0.25">
      <c r="A13" s="125" t="s">
        <v>444</v>
      </c>
      <c r="B13" s="130"/>
      <c r="C13" s="121" t="s">
        <v>285</v>
      </c>
      <c r="D13" s="130"/>
      <c r="E13" s="130"/>
      <c r="F13" s="130"/>
      <c r="G13" s="121" t="s">
        <v>285</v>
      </c>
      <c r="H13" s="130"/>
      <c r="I13" s="130"/>
      <c r="J13" s="132"/>
      <c r="K13" s="132"/>
    </row>
    <row r="14" spans="1:11" s="129" customFormat="1" ht="18" x14ac:dyDescent="0.25">
      <c r="A14" s="125" t="s">
        <v>445</v>
      </c>
      <c r="B14" s="130"/>
      <c r="C14" s="121" t="s">
        <v>285</v>
      </c>
      <c r="D14" s="130"/>
      <c r="E14" s="130"/>
      <c r="F14" s="130"/>
      <c r="G14" s="121" t="s">
        <v>285</v>
      </c>
      <c r="H14" s="130"/>
      <c r="I14" s="130"/>
      <c r="J14" s="132"/>
      <c r="K14" s="132"/>
    </row>
    <row r="15" spans="1:11" s="129" customFormat="1" ht="18" x14ac:dyDescent="0.25">
      <c r="A15" s="125" t="s">
        <v>739</v>
      </c>
      <c r="B15" s="121" t="s">
        <v>285</v>
      </c>
      <c r="C15" s="130"/>
      <c r="D15" s="121" t="s">
        <v>285</v>
      </c>
      <c r="E15" s="130"/>
      <c r="F15" s="130"/>
      <c r="G15" s="121" t="s">
        <v>285</v>
      </c>
      <c r="H15" s="130"/>
      <c r="I15" s="130"/>
      <c r="J15" s="132"/>
      <c r="K15" s="132"/>
    </row>
    <row r="16" spans="1:11" s="129" customFormat="1" ht="20.399999999999999" x14ac:dyDescent="0.25">
      <c r="A16" s="125" t="s">
        <v>740</v>
      </c>
      <c r="B16" s="121" t="s">
        <v>285</v>
      </c>
      <c r="C16" s="130"/>
      <c r="D16" s="121" t="s">
        <v>285</v>
      </c>
      <c r="E16" s="130"/>
      <c r="F16" s="130"/>
      <c r="G16" s="121" t="s">
        <v>285</v>
      </c>
      <c r="H16" s="130"/>
      <c r="I16" s="130"/>
      <c r="J16" s="132"/>
      <c r="K16" s="132"/>
    </row>
    <row r="17" spans="1:11" s="129" customFormat="1" ht="20.399999999999999" x14ac:dyDescent="0.25">
      <c r="A17" s="125" t="s">
        <v>741</v>
      </c>
      <c r="B17" s="121" t="s">
        <v>285</v>
      </c>
      <c r="C17" s="121" t="s">
        <v>285</v>
      </c>
      <c r="D17" s="121" t="s">
        <v>285</v>
      </c>
      <c r="E17" s="130"/>
      <c r="F17" s="131" t="s">
        <v>745</v>
      </c>
      <c r="G17" s="121" t="s">
        <v>285</v>
      </c>
      <c r="H17" s="121" t="s">
        <v>285</v>
      </c>
      <c r="I17" s="121" t="s">
        <v>285</v>
      </c>
      <c r="J17" s="121" t="s">
        <v>285</v>
      </c>
      <c r="K17" s="132"/>
    </row>
    <row r="18" spans="1:11" s="129" customFormat="1" ht="51" x14ac:dyDescent="0.25">
      <c r="A18" s="125" t="s">
        <v>742</v>
      </c>
      <c r="B18" s="130"/>
      <c r="C18" s="131" t="s">
        <v>745</v>
      </c>
      <c r="D18" s="130"/>
      <c r="E18" s="121" t="s">
        <v>285</v>
      </c>
      <c r="F18" s="121" t="s">
        <v>285</v>
      </c>
      <c r="G18" s="121" t="s">
        <v>285</v>
      </c>
      <c r="H18" s="130"/>
      <c r="I18" s="130"/>
      <c r="J18" s="132"/>
      <c r="K18" s="132"/>
    </row>
    <row r="19" spans="1:11" s="129" customFormat="1" ht="22.5" customHeight="1" x14ac:dyDescent="0.25">
      <c r="A19" s="125" t="s">
        <v>743</v>
      </c>
      <c r="B19" s="130"/>
      <c r="C19" s="131" t="s">
        <v>745</v>
      </c>
      <c r="D19" s="130"/>
      <c r="E19" s="121" t="s">
        <v>285</v>
      </c>
      <c r="F19" s="121" t="s">
        <v>285</v>
      </c>
      <c r="G19" s="121" t="s">
        <v>285</v>
      </c>
      <c r="H19" s="130"/>
      <c r="I19" s="130"/>
      <c r="J19" s="132"/>
      <c r="K19" s="132"/>
    </row>
    <row r="20" spans="1:11" s="129" customFormat="1" ht="18" x14ac:dyDescent="0.25">
      <c r="A20" s="133" t="s">
        <v>439</v>
      </c>
      <c r="B20" s="121" t="s">
        <v>285</v>
      </c>
      <c r="C20" s="121" t="s">
        <v>285</v>
      </c>
      <c r="D20" s="121" t="s">
        <v>285</v>
      </c>
      <c r="E20" s="121" t="s">
        <v>285</v>
      </c>
      <c r="F20" s="121" t="s">
        <v>285</v>
      </c>
      <c r="G20" s="121" t="s">
        <v>285</v>
      </c>
      <c r="H20" s="121" t="s">
        <v>285</v>
      </c>
      <c r="I20" s="121" t="s">
        <v>285</v>
      </c>
      <c r="J20" s="121" t="s">
        <v>285</v>
      </c>
      <c r="K20" s="132"/>
    </row>
    <row r="21" spans="1:11" s="134" customFormat="1" x14ac:dyDescent="0.25">
      <c r="A21" s="134" t="s">
        <v>1252</v>
      </c>
    </row>
    <row r="23" spans="1:11" ht="18" x14ac:dyDescent="0.25">
      <c r="A23" s="118" t="s">
        <v>750</v>
      </c>
    </row>
    <row r="24" spans="1:11" ht="40.799999999999997" x14ac:dyDescent="0.25">
      <c r="A24" s="135" t="s">
        <v>749</v>
      </c>
      <c r="B24" s="135" t="s">
        <v>431</v>
      </c>
      <c r="C24" s="135" t="s">
        <v>432</v>
      </c>
      <c r="D24" s="135" t="s">
        <v>433</v>
      </c>
      <c r="E24" s="135" t="s">
        <v>434</v>
      </c>
      <c r="F24" s="135" t="s">
        <v>435</v>
      </c>
      <c r="G24" s="135" t="s">
        <v>748</v>
      </c>
    </row>
    <row r="25" spans="1:11" ht="18" x14ac:dyDescent="0.25">
      <c r="A25" s="135" t="s">
        <v>242</v>
      </c>
      <c r="B25" s="121" t="s">
        <v>285</v>
      </c>
      <c r="C25" s="121" t="s">
        <v>285</v>
      </c>
      <c r="D25" s="121" t="s">
        <v>285</v>
      </c>
      <c r="E25" s="121" t="s">
        <v>285</v>
      </c>
      <c r="F25" s="121" t="s">
        <v>285</v>
      </c>
      <c r="G25" s="121" t="s">
        <v>285</v>
      </c>
    </row>
    <row r="26" spans="1:11" ht="18" x14ac:dyDescent="0.25">
      <c r="A26" s="135" t="s">
        <v>738</v>
      </c>
      <c r="B26" s="121" t="s">
        <v>285</v>
      </c>
      <c r="C26" s="121" t="s">
        <v>285</v>
      </c>
      <c r="D26" s="121" t="s">
        <v>285</v>
      </c>
      <c r="E26" s="121" t="s">
        <v>285</v>
      </c>
      <c r="F26" s="121" t="s">
        <v>285</v>
      </c>
      <c r="G26" s="121" t="s">
        <v>285</v>
      </c>
    </row>
    <row r="27" spans="1:11" ht="15" x14ac:dyDescent="0.25">
      <c r="A27" s="135" t="s">
        <v>244</v>
      </c>
      <c r="B27" s="136"/>
      <c r="C27" s="136"/>
      <c r="D27" s="136"/>
      <c r="E27" s="136"/>
      <c r="F27" s="136"/>
      <c r="G27" s="136"/>
    </row>
    <row r="28" spans="1:11" ht="20.399999999999999" x14ac:dyDescent="0.25">
      <c r="A28" s="135" t="s">
        <v>245</v>
      </c>
      <c r="B28" s="136"/>
      <c r="C28" s="136"/>
      <c r="D28" s="136"/>
      <c r="E28" s="136"/>
      <c r="F28" s="136"/>
      <c r="G28" s="136"/>
    </row>
    <row r="29" spans="1:11" ht="15" x14ac:dyDescent="0.25">
      <c r="A29" s="135" t="s">
        <v>246</v>
      </c>
      <c r="B29" s="136"/>
      <c r="C29" s="136"/>
      <c r="D29" s="136"/>
      <c r="E29" s="136"/>
      <c r="F29" s="136"/>
      <c r="G29" s="136"/>
    </row>
    <row r="30" spans="1:11" ht="20.399999999999999" x14ac:dyDescent="0.25">
      <c r="A30" s="135" t="s">
        <v>444</v>
      </c>
      <c r="B30" s="136"/>
      <c r="C30" s="136"/>
      <c r="D30" s="136"/>
      <c r="E30" s="136"/>
      <c r="F30" s="136"/>
      <c r="G30" s="136"/>
    </row>
    <row r="31" spans="1:11" ht="15" x14ac:dyDescent="0.25">
      <c r="A31" s="135" t="s">
        <v>445</v>
      </c>
      <c r="B31" s="136"/>
      <c r="C31" s="136"/>
      <c r="D31" s="136"/>
      <c r="E31" s="136"/>
      <c r="F31" s="136"/>
      <c r="G31" s="136"/>
    </row>
    <row r="32" spans="1:11" ht="15" x14ac:dyDescent="0.25">
      <c r="A32" s="135" t="s">
        <v>739</v>
      </c>
      <c r="B32" s="136"/>
      <c r="C32" s="136"/>
      <c r="D32" s="136"/>
      <c r="E32" s="136"/>
      <c r="F32" s="136"/>
      <c r="G32" s="136"/>
    </row>
    <row r="33" spans="1:7" ht="20.399999999999999" x14ac:dyDescent="0.25">
      <c r="A33" s="135" t="s">
        <v>740</v>
      </c>
      <c r="B33" s="136"/>
      <c r="C33" s="136"/>
      <c r="D33" s="136"/>
      <c r="E33" s="136"/>
      <c r="F33" s="136"/>
      <c r="G33" s="136"/>
    </row>
    <row r="34" spans="1:7" ht="20.399999999999999" x14ac:dyDescent="0.25">
      <c r="A34" s="135" t="s">
        <v>741</v>
      </c>
      <c r="B34" s="136"/>
      <c r="C34" s="136"/>
      <c r="D34" s="136"/>
      <c r="E34" s="136"/>
      <c r="F34" s="136"/>
      <c r="G34" s="136"/>
    </row>
    <row r="35" spans="1:7" ht="51" x14ac:dyDescent="0.25">
      <c r="A35" s="135" t="s">
        <v>742</v>
      </c>
      <c r="B35" s="136"/>
      <c r="C35" s="136"/>
      <c r="D35" s="136"/>
      <c r="E35" s="136"/>
      <c r="F35" s="136"/>
      <c r="G35" s="136"/>
    </row>
    <row r="36" spans="1:7" ht="15" x14ac:dyDescent="0.25">
      <c r="A36" s="135" t="s">
        <v>743</v>
      </c>
      <c r="B36" s="136"/>
      <c r="C36" s="136"/>
      <c r="D36" s="136"/>
      <c r="E36" s="136"/>
      <c r="F36" s="136"/>
      <c r="G36" s="136"/>
    </row>
    <row r="37" spans="1:7" ht="18" x14ac:dyDescent="0.25">
      <c r="A37" s="135" t="s">
        <v>439</v>
      </c>
      <c r="B37" s="121" t="s">
        <v>285</v>
      </c>
      <c r="C37" s="121" t="s">
        <v>285</v>
      </c>
      <c r="D37" s="121" t="s">
        <v>285</v>
      </c>
      <c r="E37" s="121" t="s">
        <v>285</v>
      </c>
      <c r="F37" s="121" t="s">
        <v>285</v>
      </c>
      <c r="G37" s="121" t="s">
        <v>285</v>
      </c>
    </row>
  </sheetData>
  <sheetProtection sheet="1" objects="1" scenarios="1"/>
  <mergeCells count="4">
    <mergeCell ref="A4:A5"/>
    <mergeCell ref="C4:J4"/>
    <mergeCell ref="C5:J5"/>
    <mergeCell ref="C6:J6"/>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2027-3160-4779-803E-2514F564E447}">
  <sheetPr codeName="Planilha15">
    <tabColor theme="9" tint="0.79998168889431442"/>
  </sheetPr>
  <dimension ref="A1:F12"/>
  <sheetViews>
    <sheetView showGridLines="0" topLeftCell="A3" zoomScaleNormal="100" workbookViewId="0">
      <selection activeCell="C8" sqref="C8"/>
    </sheetView>
  </sheetViews>
  <sheetFormatPr defaultColWidth="9.109375" defaultRowHeight="13.2" x14ac:dyDescent="0.25"/>
  <cols>
    <col min="1" max="1" width="58.6640625" style="23" customWidth="1"/>
    <col min="2" max="15" width="17.5546875" style="23" customWidth="1"/>
    <col min="16" max="16384" width="9.109375" style="23"/>
  </cols>
  <sheetData>
    <row r="1" spans="1:6" s="33" customFormat="1" ht="17.399999999999999" x14ac:dyDescent="0.3">
      <c r="A1" s="33" t="s">
        <v>1010</v>
      </c>
    </row>
    <row r="2" spans="1:6" s="33" customFormat="1" ht="17.399999999999999" x14ac:dyDescent="0.3"/>
    <row r="3" spans="1:6" ht="18" x14ac:dyDescent="0.25">
      <c r="A3" s="22" t="s">
        <v>1009</v>
      </c>
    </row>
    <row r="4" spans="1:6" ht="32.25" customHeight="1" x14ac:dyDescent="0.25">
      <c r="A4" s="74" t="s">
        <v>1011</v>
      </c>
      <c r="B4" s="24" t="s">
        <v>1004</v>
      </c>
      <c r="C4" s="24" t="s">
        <v>1005</v>
      </c>
      <c r="D4" s="24" t="s">
        <v>1006</v>
      </c>
      <c r="E4" s="24" t="s">
        <v>1007</v>
      </c>
      <c r="F4" s="24" t="s">
        <v>1008</v>
      </c>
    </row>
    <row r="5" spans="1:6" ht="32.25" customHeight="1" x14ac:dyDescent="0.25">
      <c r="A5" s="74" t="s">
        <v>328</v>
      </c>
      <c r="B5" s="60"/>
      <c r="C5" s="60"/>
      <c r="D5" s="60"/>
      <c r="E5" s="60"/>
      <c r="F5" s="61" t="s">
        <v>285</v>
      </c>
    </row>
    <row r="6" spans="1:6" ht="32.25" customHeight="1" x14ac:dyDescent="0.25">
      <c r="A6" s="74" t="s">
        <v>329</v>
      </c>
      <c r="B6" s="60"/>
      <c r="C6" s="60"/>
      <c r="D6" s="60"/>
      <c r="E6" s="60"/>
      <c r="F6" s="61" t="s">
        <v>285</v>
      </c>
    </row>
    <row r="7" spans="1:6" ht="32.25" customHeight="1" x14ac:dyDescent="0.25">
      <c r="A7" s="74" t="s">
        <v>330</v>
      </c>
      <c r="B7" s="60"/>
      <c r="C7" s="60"/>
      <c r="D7" s="60"/>
      <c r="E7" s="60"/>
      <c r="F7" s="61" t="s">
        <v>285</v>
      </c>
    </row>
    <row r="8" spans="1:6" ht="32.25" customHeight="1" x14ac:dyDescent="0.25">
      <c r="A8" s="74" t="s">
        <v>331</v>
      </c>
      <c r="B8" s="60"/>
      <c r="C8" s="60"/>
      <c r="D8" s="60"/>
      <c r="E8" s="61" t="s">
        <v>285</v>
      </c>
      <c r="F8" s="61" t="s">
        <v>285</v>
      </c>
    </row>
    <row r="9" spans="1:6" ht="32.25" customHeight="1" x14ac:dyDescent="0.25">
      <c r="A9" s="74" t="s">
        <v>332</v>
      </c>
      <c r="B9" s="61" t="s">
        <v>285</v>
      </c>
      <c r="C9" s="61" t="s">
        <v>285</v>
      </c>
      <c r="D9" s="61" t="s">
        <v>285</v>
      </c>
      <c r="E9" s="60"/>
      <c r="F9" s="60"/>
    </row>
    <row r="10" spans="1:6" ht="32.25" customHeight="1" x14ac:dyDescent="0.25">
      <c r="A10" s="74" t="s">
        <v>333</v>
      </c>
      <c r="B10" s="61" t="s">
        <v>285</v>
      </c>
      <c r="C10" s="61" t="s">
        <v>285</v>
      </c>
      <c r="D10" s="61" t="s">
        <v>285</v>
      </c>
      <c r="E10" s="60"/>
      <c r="F10" s="60"/>
    </row>
    <row r="12" spans="1:6" ht="15" x14ac:dyDescent="0.25">
      <c r="A12" s="75" t="s">
        <v>1022</v>
      </c>
    </row>
  </sheetData>
  <sheetProtection sheet="1" objects="1" scenarios="1"/>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D6DA3-6E0B-458B-917A-5CF23D541A40}">
  <sheetPr codeName="Planilha16">
    <tabColor theme="9" tint="0.79998168889431442"/>
  </sheetPr>
  <dimension ref="A1:J48"/>
  <sheetViews>
    <sheetView showGridLines="0" zoomScaleNormal="100" workbookViewId="0">
      <selection activeCell="D36" sqref="D36:D38"/>
    </sheetView>
  </sheetViews>
  <sheetFormatPr defaultRowHeight="13.2" x14ac:dyDescent="0.25"/>
  <cols>
    <col min="1" max="1" width="8.5546875" customWidth="1"/>
    <col min="2" max="2" width="26.6640625" customWidth="1"/>
    <col min="3" max="3" width="8.33203125" bestFit="1" customWidth="1"/>
    <col min="4" max="4" width="69.6640625" bestFit="1" customWidth="1"/>
    <col min="5" max="10" width="21.109375" customWidth="1"/>
  </cols>
  <sheetData>
    <row r="1" spans="1:10" s="33" customFormat="1" ht="17.399999999999999" x14ac:dyDescent="0.3">
      <c r="A1" s="33" t="s">
        <v>1091</v>
      </c>
    </row>
    <row r="2" spans="1:10" s="33" customFormat="1" ht="17.399999999999999" x14ac:dyDescent="0.3"/>
    <row r="3" spans="1:10" ht="18" x14ac:dyDescent="0.35">
      <c r="A3" s="237" t="s">
        <v>1094</v>
      </c>
      <c r="B3" s="237"/>
      <c r="C3" s="237"/>
      <c r="D3" s="237"/>
      <c r="E3" s="237"/>
      <c r="F3" s="237"/>
      <c r="G3" s="237"/>
      <c r="H3" s="237"/>
      <c r="I3" s="237"/>
      <c r="J3" s="237"/>
    </row>
    <row r="4" spans="1:10" ht="64.5" customHeight="1" x14ac:dyDescent="0.25">
      <c r="A4" s="24" t="s">
        <v>1063</v>
      </c>
      <c r="B4" s="24" t="s">
        <v>450</v>
      </c>
      <c r="C4" s="24" t="s">
        <v>1063</v>
      </c>
      <c r="D4" s="24" t="s">
        <v>1064</v>
      </c>
      <c r="E4" s="24" t="s">
        <v>1065</v>
      </c>
      <c r="F4" s="24" t="s">
        <v>1066</v>
      </c>
      <c r="G4" s="24" t="s">
        <v>1067</v>
      </c>
      <c r="H4" s="24" t="s">
        <v>1068</v>
      </c>
      <c r="I4" s="24" t="s">
        <v>1069</v>
      </c>
      <c r="J4" s="24" t="s">
        <v>1070</v>
      </c>
    </row>
    <row r="5" spans="1:10" ht="15" x14ac:dyDescent="0.25">
      <c r="A5" s="238">
        <v>301</v>
      </c>
      <c r="B5" s="238" t="s">
        <v>1071</v>
      </c>
      <c r="C5" s="80">
        <v>1</v>
      </c>
      <c r="D5" s="80" t="s">
        <v>1072</v>
      </c>
      <c r="E5" s="60"/>
      <c r="F5" s="60"/>
      <c r="G5" s="60"/>
      <c r="H5" s="60"/>
      <c r="I5" s="60"/>
      <c r="J5" s="60"/>
    </row>
    <row r="6" spans="1:10" ht="15" x14ac:dyDescent="0.25">
      <c r="A6" s="235"/>
      <c r="B6" s="235"/>
      <c r="C6" s="80">
        <v>2</v>
      </c>
      <c r="D6" s="80" t="s">
        <v>1073</v>
      </c>
      <c r="E6" s="60"/>
      <c r="F6" s="60"/>
      <c r="G6" s="60"/>
      <c r="H6" s="60"/>
      <c r="I6" s="60"/>
      <c r="J6" s="60"/>
    </row>
    <row r="7" spans="1:10" ht="15" x14ac:dyDescent="0.25">
      <c r="A7" s="236"/>
      <c r="B7" s="236"/>
      <c r="C7" s="80">
        <v>3</v>
      </c>
      <c r="D7" s="80" t="s">
        <v>1074</v>
      </c>
      <c r="E7" s="60"/>
      <c r="F7" s="60"/>
      <c r="G7" s="60"/>
      <c r="H7" s="60"/>
      <c r="I7" s="60"/>
      <c r="J7" s="60"/>
    </row>
    <row r="8" spans="1:10" ht="15" x14ac:dyDescent="0.25">
      <c r="A8" s="234">
        <v>302</v>
      </c>
      <c r="B8" s="234" t="s">
        <v>1075</v>
      </c>
      <c r="C8" s="80">
        <v>14</v>
      </c>
      <c r="D8" s="80" t="s">
        <v>680</v>
      </c>
      <c r="E8" s="82" t="s">
        <v>285</v>
      </c>
      <c r="F8" s="60"/>
      <c r="G8" s="82" t="s">
        <v>285</v>
      </c>
      <c r="H8" s="82" t="s">
        <v>285</v>
      </c>
      <c r="I8" s="82" t="s">
        <v>285</v>
      </c>
      <c r="J8" s="60"/>
    </row>
    <row r="9" spans="1:10" ht="15" x14ac:dyDescent="0.25">
      <c r="A9" s="235"/>
      <c r="B9" s="235"/>
      <c r="C9" s="80">
        <v>15</v>
      </c>
      <c r="D9" s="80" t="s">
        <v>681</v>
      </c>
      <c r="E9" s="82" t="s">
        <v>285</v>
      </c>
      <c r="F9" s="60"/>
      <c r="G9" s="82" t="s">
        <v>285</v>
      </c>
      <c r="H9" s="82" t="s">
        <v>285</v>
      </c>
      <c r="I9" s="82" t="s">
        <v>285</v>
      </c>
      <c r="J9" s="60"/>
    </row>
    <row r="10" spans="1:10" ht="15" x14ac:dyDescent="0.25">
      <c r="A10" s="235"/>
      <c r="B10" s="235"/>
      <c r="C10" s="80">
        <v>16</v>
      </c>
      <c r="D10" s="80" t="s">
        <v>682</v>
      </c>
      <c r="E10" s="82" t="s">
        <v>285</v>
      </c>
      <c r="F10" s="60"/>
      <c r="G10" s="82" t="s">
        <v>285</v>
      </c>
      <c r="H10" s="82" t="s">
        <v>285</v>
      </c>
      <c r="I10" s="82" t="s">
        <v>285</v>
      </c>
      <c r="J10" s="60"/>
    </row>
    <row r="11" spans="1:10" ht="15" x14ac:dyDescent="0.25">
      <c r="A11" s="235"/>
      <c r="B11" s="235"/>
      <c r="C11" s="80">
        <v>17</v>
      </c>
      <c r="D11" s="80" t="s">
        <v>683</v>
      </c>
      <c r="E11" s="82" t="s">
        <v>285</v>
      </c>
      <c r="F11" s="60"/>
      <c r="G11" s="82" t="s">
        <v>285</v>
      </c>
      <c r="H11" s="82" t="s">
        <v>285</v>
      </c>
      <c r="I11" s="82" t="s">
        <v>285</v>
      </c>
      <c r="J11" s="60"/>
    </row>
    <row r="12" spans="1:10" ht="15" x14ac:dyDescent="0.25">
      <c r="A12" s="235"/>
      <c r="B12" s="235"/>
      <c r="C12" s="80">
        <v>18</v>
      </c>
      <c r="D12" s="80" t="s">
        <v>684</v>
      </c>
      <c r="E12" s="82" t="s">
        <v>285</v>
      </c>
      <c r="F12" s="60"/>
      <c r="G12" s="82" t="s">
        <v>285</v>
      </c>
      <c r="H12" s="82" t="s">
        <v>285</v>
      </c>
      <c r="I12" s="82" t="s">
        <v>285</v>
      </c>
      <c r="J12" s="60"/>
    </row>
    <row r="13" spans="1:10" ht="15" x14ac:dyDescent="0.25">
      <c r="A13" s="235"/>
      <c r="B13" s="235"/>
      <c r="C13" s="80">
        <v>19</v>
      </c>
      <c r="D13" s="80" t="s">
        <v>685</v>
      </c>
      <c r="E13" s="82" t="s">
        <v>285</v>
      </c>
      <c r="F13" s="60"/>
      <c r="G13" s="82" t="s">
        <v>285</v>
      </c>
      <c r="H13" s="82" t="s">
        <v>285</v>
      </c>
      <c r="I13" s="82" t="s">
        <v>285</v>
      </c>
      <c r="J13" s="82" t="s">
        <v>285</v>
      </c>
    </row>
    <row r="14" spans="1:10" ht="15" x14ac:dyDescent="0.25">
      <c r="A14" s="235"/>
      <c r="B14" s="235"/>
      <c r="C14" s="80">
        <v>20</v>
      </c>
      <c r="D14" s="80" t="s">
        <v>686</v>
      </c>
      <c r="E14" s="82" t="s">
        <v>285</v>
      </c>
      <c r="F14" s="60"/>
      <c r="G14" s="82" t="s">
        <v>285</v>
      </c>
      <c r="H14" s="82" t="s">
        <v>285</v>
      </c>
      <c r="I14" s="82" t="s">
        <v>285</v>
      </c>
      <c r="J14" s="82" t="s">
        <v>285</v>
      </c>
    </row>
    <row r="15" spans="1:10" ht="15" x14ac:dyDescent="0.25">
      <c r="A15" s="235"/>
      <c r="B15" s="235"/>
      <c r="C15" s="80">
        <v>21</v>
      </c>
      <c r="D15" s="80" t="s">
        <v>687</v>
      </c>
      <c r="E15" s="82" t="s">
        <v>285</v>
      </c>
      <c r="F15" s="60"/>
      <c r="G15" s="82" t="s">
        <v>285</v>
      </c>
      <c r="H15" s="82" t="s">
        <v>285</v>
      </c>
      <c r="I15" s="82" t="s">
        <v>285</v>
      </c>
      <c r="J15" s="82" t="s">
        <v>285</v>
      </c>
    </row>
    <row r="16" spans="1:10" ht="15" x14ac:dyDescent="0.25">
      <c r="A16" s="236"/>
      <c r="B16" s="236"/>
      <c r="C16" s="80">
        <v>41</v>
      </c>
      <c r="D16" s="80" t="s">
        <v>688</v>
      </c>
      <c r="E16" s="82" t="s">
        <v>285</v>
      </c>
      <c r="F16" s="60"/>
      <c r="G16" s="82" t="s">
        <v>285</v>
      </c>
      <c r="H16" s="82" t="s">
        <v>285</v>
      </c>
      <c r="I16" s="82" t="s">
        <v>285</v>
      </c>
      <c r="J16" s="82" t="s">
        <v>285</v>
      </c>
    </row>
    <row r="17" spans="1:10" ht="15" x14ac:dyDescent="0.25">
      <c r="A17" s="234">
        <v>303</v>
      </c>
      <c r="B17" s="234" t="s">
        <v>1076</v>
      </c>
      <c r="C17" s="80">
        <v>22</v>
      </c>
      <c r="D17" s="80" t="s">
        <v>1077</v>
      </c>
      <c r="E17" s="82" t="s">
        <v>285</v>
      </c>
      <c r="F17" s="60"/>
      <c r="G17" s="82" t="s">
        <v>285</v>
      </c>
      <c r="H17" s="82" t="s">
        <v>285</v>
      </c>
      <c r="I17" s="82" t="s">
        <v>285</v>
      </c>
      <c r="J17" s="82" t="s">
        <v>285</v>
      </c>
    </row>
    <row r="18" spans="1:10" ht="15" x14ac:dyDescent="0.25">
      <c r="A18" s="235"/>
      <c r="B18" s="235"/>
      <c r="C18" s="80">
        <v>23</v>
      </c>
      <c r="D18" s="80" t="s">
        <v>1078</v>
      </c>
      <c r="E18" s="82" t="s">
        <v>285</v>
      </c>
      <c r="F18" s="60"/>
      <c r="G18" s="82" t="s">
        <v>285</v>
      </c>
      <c r="H18" s="82" t="s">
        <v>285</v>
      </c>
      <c r="I18" s="82" t="s">
        <v>285</v>
      </c>
      <c r="J18" s="82" t="s">
        <v>285</v>
      </c>
    </row>
    <row r="19" spans="1:10" ht="15" x14ac:dyDescent="0.25">
      <c r="A19" s="236"/>
      <c r="B19" s="236"/>
      <c r="C19" s="80">
        <v>56</v>
      </c>
      <c r="D19" s="80" t="s">
        <v>1079</v>
      </c>
      <c r="E19" s="82" t="s">
        <v>285</v>
      </c>
      <c r="F19" s="60"/>
      <c r="G19" s="82" t="s">
        <v>285</v>
      </c>
      <c r="H19" s="82" t="s">
        <v>285</v>
      </c>
      <c r="I19" s="82" t="s">
        <v>285</v>
      </c>
      <c r="J19" s="60"/>
    </row>
    <row r="20" spans="1:10" ht="15" x14ac:dyDescent="0.25">
      <c r="A20" s="234">
        <v>304</v>
      </c>
      <c r="B20" s="234" t="s">
        <v>1080</v>
      </c>
      <c r="C20" s="80">
        <v>25</v>
      </c>
      <c r="D20" s="80" t="s">
        <v>692</v>
      </c>
      <c r="E20" s="82" t="s">
        <v>285</v>
      </c>
      <c r="F20" s="82" t="s">
        <v>285</v>
      </c>
      <c r="G20" s="82" t="s">
        <v>285</v>
      </c>
      <c r="H20" s="82" t="s">
        <v>285</v>
      </c>
      <c r="I20" s="82" t="s">
        <v>285</v>
      </c>
      <c r="J20" s="82" t="s">
        <v>285</v>
      </c>
    </row>
    <row r="21" spans="1:10" ht="15" x14ac:dyDescent="0.25">
      <c r="A21" s="235"/>
      <c r="B21" s="235"/>
      <c r="C21" s="80">
        <v>26</v>
      </c>
      <c r="D21" s="80" t="s">
        <v>693</v>
      </c>
      <c r="E21" s="82" t="s">
        <v>285</v>
      </c>
      <c r="F21" s="82" t="s">
        <v>285</v>
      </c>
      <c r="G21" s="82" t="s">
        <v>285</v>
      </c>
      <c r="H21" s="82" t="s">
        <v>285</v>
      </c>
      <c r="I21" s="82" t="s">
        <v>285</v>
      </c>
      <c r="J21" s="82" t="s">
        <v>285</v>
      </c>
    </row>
    <row r="22" spans="1:10" ht="15" x14ac:dyDescent="0.25">
      <c r="A22" s="235"/>
      <c r="B22" s="235"/>
      <c r="C22" s="80">
        <v>27</v>
      </c>
      <c r="D22" s="80" t="s">
        <v>694</v>
      </c>
      <c r="E22" s="82" t="s">
        <v>285</v>
      </c>
      <c r="F22" s="82" t="s">
        <v>285</v>
      </c>
      <c r="G22" s="82" t="s">
        <v>285</v>
      </c>
      <c r="H22" s="82" t="s">
        <v>285</v>
      </c>
      <c r="I22" s="82" t="s">
        <v>285</v>
      </c>
      <c r="J22" s="82" t="s">
        <v>285</v>
      </c>
    </row>
    <row r="23" spans="1:10" ht="15" x14ac:dyDescent="0.25">
      <c r="A23" s="235"/>
      <c r="B23" s="235"/>
      <c r="C23" s="80">
        <v>28</v>
      </c>
      <c r="D23" s="80" t="s">
        <v>695</v>
      </c>
      <c r="E23" s="82" t="s">
        <v>285</v>
      </c>
      <c r="F23" s="82" t="s">
        <v>285</v>
      </c>
      <c r="G23" s="82" t="s">
        <v>285</v>
      </c>
      <c r="H23" s="82" t="s">
        <v>285</v>
      </c>
      <c r="I23" s="82" t="s">
        <v>285</v>
      </c>
      <c r="J23" s="82" t="s">
        <v>285</v>
      </c>
    </row>
    <row r="24" spans="1:10" ht="15" x14ac:dyDescent="0.25">
      <c r="A24" s="236"/>
      <c r="B24" s="236"/>
      <c r="C24" s="80">
        <v>29</v>
      </c>
      <c r="D24" s="80" t="s">
        <v>696</v>
      </c>
      <c r="E24" s="82" t="s">
        <v>285</v>
      </c>
      <c r="F24" s="82" t="s">
        <v>285</v>
      </c>
      <c r="G24" s="82" t="s">
        <v>285</v>
      </c>
      <c r="H24" s="82" t="s">
        <v>285</v>
      </c>
      <c r="I24" s="82" t="s">
        <v>285</v>
      </c>
      <c r="J24" s="82" t="s">
        <v>285</v>
      </c>
    </row>
    <row r="25" spans="1:10" ht="15" x14ac:dyDescent="0.25">
      <c r="A25" s="234">
        <v>305</v>
      </c>
      <c r="B25" s="234" t="s">
        <v>1081</v>
      </c>
      <c r="C25" s="80">
        <v>35</v>
      </c>
      <c r="D25" s="80" t="s">
        <v>697</v>
      </c>
      <c r="E25" s="82" t="s">
        <v>285</v>
      </c>
      <c r="F25" s="82" t="s">
        <v>285</v>
      </c>
      <c r="G25" s="82" t="s">
        <v>285</v>
      </c>
      <c r="H25" s="82" t="s">
        <v>285</v>
      </c>
      <c r="I25" s="82" t="s">
        <v>285</v>
      </c>
      <c r="J25" s="82" t="s">
        <v>285</v>
      </c>
    </row>
    <row r="26" spans="1:10" ht="15" x14ac:dyDescent="0.25">
      <c r="A26" s="235"/>
      <c r="B26" s="235"/>
      <c r="C26" s="80">
        <v>36</v>
      </c>
      <c r="D26" s="80" t="s">
        <v>698</v>
      </c>
      <c r="E26" s="82" t="s">
        <v>285</v>
      </c>
      <c r="F26" s="82" t="s">
        <v>285</v>
      </c>
      <c r="G26" s="82" t="s">
        <v>285</v>
      </c>
      <c r="H26" s="82" t="s">
        <v>285</v>
      </c>
      <c r="I26" s="82" t="s">
        <v>285</v>
      </c>
      <c r="J26" s="82" t="s">
        <v>285</v>
      </c>
    </row>
    <row r="27" spans="1:10" ht="15" x14ac:dyDescent="0.25">
      <c r="A27" s="235"/>
      <c r="B27" s="235"/>
      <c r="C27" s="80">
        <v>37</v>
      </c>
      <c r="D27" s="80" t="s">
        <v>699</v>
      </c>
      <c r="E27" s="82" t="s">
        <v>285</v>
      </c>
      <c r="F27" s="82" t="s">
        <v>285</v>
      </c>
      <c r="G27" s="82" t="s">
        <v>285</v>
      </c>
      <c r="H27" s="82" t="s">
        <v>285</v>
      </c>
      <c r="I27" s="82" t="s">
        <v>285</v>
      </c>
      <c r="J27" s="82" t="s">
        <v>285</v>
      </c>
    </row>
    <row r="28" spans="1:10" ht="15" x14ac:dyDescent="0.25">
      <c r="A28" s="236"/>
      <c r="B28" s="236"/>
      <c r="C28" s="80">
        <v>38</v>
      </c>
      <c r="D28" s="80" t="s">
        <v>700</v>
      </c>
      <c r="E28" s="82" t="s">
        <v>285</v>
      </c>
      <c r="F28" s="82" t="s">
        <v>285</v>
      </c>
      <c r="G28" s="82" t="s">
        <v>285</v>
      </c>
      <c r="H28" s="82" t="s">
        <v>285</v>
      </c>
      <c r="I28" s="82" t="s">
        <v>285</v>
      </c>
      <c r="J28" s="82" t="s">
        <v>285</v>
      </c>
    </row>
    <row r="29" spans="1:10" ht="15" x14ac:dyDescent="0.25">
      <c r="A29" s="234">
        <v>306</v>
      </c>
      <c r="B29" s="234" t="s">
        <v>1092</v>
      </c>
      <c r="C29" s="80">
        <v>69</v>
      </c>
      <c r="D29" s="80" t="s">
        <v>1082</v>
      </c>
      <c r="E29" s="82" t="s">
        <v>285</v>
      </c>
      <c r="F29" s="82" t="s">
        <v>285</v>
      </c>
      <c r="G29" s="60"/>
      <c r="H29" s="82" t="s">
        <v>285</v>
      </c>
      <c r="I29" s="82" t="s">
        <v>285</v>
      </c>
      <c r="J29" s="82" t="s">
        <v>285</v>
      </c>
    </row>
    <row r="30" spans="1:10" ht="15" x14ac:dyDescent="0.25">
      <c r="A30" s="235"/>
      <c r="B30" s="235"/>
      <c r="C30" s="80">
        <v>70</v>
      </c>
      <c r="D30" s="80" t="s">
        <v>1083</v>
      </c>
      <c r="E30" s="82" t="s">
        <v>285</v>
      </c>
      <c r="F30" s="82" t="s">
        <v>285</v>
      </c>
      <c r="G30" s="60"/>
      <c r="H30" s="82" t="s">
        <v>285</v>
      </c>
      <c r="I30" s="82" t="s">
        <v>285</v>
      </c>
      <c r="J30" s="82" t="s">
        <v>285</v>
      </c>
    </row>
    <row r="31" spans="1:10" ht="30" x14ac:dyDescent="0.25">
      <c r="A31" s="235"/>
      <c r="B31" s="235"/>
      <c r="C31" s="80">
        <v>72</v>
      </c>
      <c r="D31" s="80" t="s">
        <v>1084</v>
      </c>
      <c r="E31" s="82" t="s">
        <v>285</v>
      </c>
      <c r="F31" s="82" t="s">
        <v>285</v>
      </c>
      <c r="G31" s="60"/>
      <c r="H31" s="82" t="s">
        <v>285</v>
      </c>
      <c r="I31" s="82" t="s">
        <v>285</v>
      </c>
      <c r="J31" s="82" t="s">
        <v>285</v>
      </c>
    </row>
    <row r="32" spans="1:10" ht="15" x14ac:dyDescent="0.25">
      <c r="A32" s="235"/>
      <c r="B32" s="235"/>
      <c r="C32" s="80">
        <v>71</v>
      </c>
      <c r="D32" s="80" t="s">
        <v>1085</v>
      </c>
      <c r="E32" s="82" t="s">
        <v>285</v>
      </c>
      <c r="F32" s="82" t="s">
        <v>285</v>
      </c>
      <c r="G32" s="60"/>
      <c r="H32" s="82" t="s">
        <v>285</v>
      </c>
      <c r="I32" s="82" t="s">
        <v>285</v>
      </c>
      <c r="J32" s="82" t="s">
        <v>285</v>
      </c>
    </row>
    <row r="33" spans="1:10" ht="30" x14ac:dyDescent="0.25">
      <c r="A33" s="235"/>
      <c r="B33" s="235"/>
      <c r="C33" s="80">
        <v>74</v>
      </c>
      <c r="D33" s="80" t="s">
        <v>703</v>
      </c>
      <c r="E33" s="82" t="s">
        <v>285</v>
      </c>
      <c r="F33" s="82" t="s">
        <v>285</v>
      </c>
      <c r="G33" s="60"/>
      <c r="H33" s="82" t="s">
        <v>285</v>
      </c>
      <c r="I33" s="82" t="s">
        <v>285</v>
      </c>
      <c r="J33" s="82" t="s">
        <v>285</v>
      </c>
    </row>
    <row r="34" spans="1:10" ht="15" x14ac:dyDescent="0.25">
      <c r="A34" s="235"/>
      <c r="B34" s="235"/>
      <c r="C34" s="80">
        <v>73</v>
      </c>
      <c r="D34" s="80" t="s">
        <v>1086</v>
      </c>
      <c r="E34" s="82" t="s">
        <v>285</v>
      </c>
      <c r="F34" s="82" t="s">
        <v>285</v>
      </c>
      <c r="G34" s="60"/>
      <c r="H34" s="82" t="s">
        <v>285</v>
      </c>
      <c r="I34" s="82" t="s">
        <v>285</v>
      </c>
      <c r="J34" s="82" t="s">
        <v>285</v>
      </c>
    </row>
    <row r="35" spans="1:10" ht="15" x14ac:dyDescent="0.25">
      <c r="A35" s="236"/>
      <c r="B35" s="235"/>
      <c r="C35" s="80">
        <v>67</v>
      </c>
      <c r="D35" s="80" t="s">
        <v>1087</v>
      </c>
      <c r="E35" s="82" t="s">
        <v>285</v>
      </c>
      <c r="F35" s="82" t="s">
        <v>285</v>
      </c>
      <c r="G35" s="60"/>
      <c r="H35" s="82" t="s">
        <v>285</v>
      </c>
      <c r="I35" s="82" t="s">
        <v>285</v>
      </c>
      <c r="J35" s="82" t="s">
        <v>285</v>
      </c>
    </row>
    <row r="36" spans="1:10" ht="15.75" customHeight="1" x14ac:dyDescent="0.25">
      <c r="A36" s="228">
        <v>308</v>
      </c>
      <c r="B36" s="231" t="s">
        <v>1093</v>
      </c>
      <c r="C36" s="81">
        <v>39</v>
      </c>
      <c r="D36" s="80" t="s">
        <v>701</v>
      </c>
      <c r="E36" s="82" t="s">
        <v>285</v>
      </c>
      <c r="F36" s="82" t="s">
        <v>285</v>
      </c>
      <c r="G36" s="60"/>
      <c r="H36" s="82" t="s">
        <v>285</v>
      </c>
      <c r="I36" s="82" t="s">
        <v>285</v>
      </c>
      <c r="J36" s="82" t="s">
        <v>285</v>
      </c>
    </row>
    <row r="37" spans="1:10" ht="15" x14ac:dyDescent="0.25">
      <c r="A37" s="229"/>
      <c r="B37" s="232"/>
      <c r="C37" s="81">
        <v>40</v>
      </c>
      <c r="D37" s="80" t="s">
        <v>702</v>
      </c>
      <c r="E37" s="82" t="s">
        <v>285</v>
      </c>
      <c r="F37" s="82" t="s">
        <v>285</v>
      </c>
      <c r="G37" s="60"/>
      <c r="H37" s="82" t="s">
        <v>285</v>
      </c>
      <c r="I37" s="82" t="s">
        <v>285</v>
      </c>
      <c r="J37" s="82" t="s">
        <v>285</v>
      </c>
    </row>
    <row r="38" spans="1:10" ht="15" x14ac:dyDescent="0.25">
      <c r="A38" s="229"/>
      <c r="B38" s="232"/>
      <c r="C38" s="81">
        <v>64</v>
      </c>
      <c r="D38" s="80" t="s">
        <v>1088</v>
      </c>
      <c r="E38" s="82" t="s">
        <v>285</v>
      </c>
      <c r="F38" s="82" t="s">
        <v>285</v>
      </c>
      <c r="G38" s="60"/>
      <c r="H38" s="82" t="s">
        <v>285</v>
      </c>
      <c r="I38" s="82" t="s">
        <v>285</v>
      </c>
      <c r="J38" s="82" t="s">
        <v>285</v>
      </c>
    </row>
    <row r="39" spans="1:10" ht="15" x14ac:dyDescent="0.25">
      <c r="A39" s="229"/>
      <c r="B39" s="232"/>
      <c r="C39" s="81">
        <v>68</v>
      </c>
      <c r="D39" s="80" t="s">
        <v>1089</v>
      </c>
      <c r="E39" s="82" t="s">
        <v>285</v>
      </c>
      <c r="F39" s="82" t="s">
        <v>285</v>
      </c>
      <c r="G39" s="60"/>
      <c r="H39" s="82" t="s">
        <v>285</v>
      </c>
      <c r="I39" s="82" t="s">
        <v>285</v>
      </c>
      <c r="J39" s="82" t="s">
        <v>285</v>
      </c>
    </row>
    <row r="40" spans="1:10" ht="15" x14ac:dyDescent="0.25">
      <c r="A40" s="230"/>
      <c r="B40" s="233"/>
      <c r="C40" s="81">
        <v>75</v>
      </c>
      <c r="D40" s="80" t="s">
        <v>1090</v>
      </c>
      <c r="E40" s="82" t="s">
        <v>285</v>
      </c>
      <c r="F40" s="82" t="s">
        <v>285</v>
      </c>
      <c r="G40" s="60"/>
      <c r="H40" s="82" t="s">
        <v>285</v>
      </c>
      <c r="I40" s="82" t="s">
        <v>285</v>
      </c>
      <c r="J40" s="82" t="s">
        <v>285</v>
      </c>
    </row>
    <row r="44" spans="1:10" ht="12.75" customHeight="1" x14ac:dyDescent="0.25"/>
    <row r="45" spans="1:10" ht="12.75" customHeight="1" x14ac:dyDescent="0.25"/>
    <row r="46" spans="1:10" ht="12.75" customHeight="1" x14ac:dyDescent="0.25"/>
    <row r="47" spans="1:10" ht="12.75" customHeight="1" x14ac:dyDescent="0.25"/>
    <row r="48" spans="1:10" ht="12.75" customHeight="1" x14ac:dyDescent="0.25"/>
  </sheetData>
  <sheetProtection sheet="1" objects="1" scenarios="1"/>
  <mergeCells count="15">
    <mergeCell ref="A17:A19"/>
    <mergeCell ref="B17:B19"/>
    <mergeCell ref="A3:J3"/>
    <mergeCell ref="A5:A7"/>
    <mergeCell ref="B5:B7"/>
    <mergeCell ref="A8:A16"/>
    <mergeCell ref="B8:B16"/>
    <mergeCell ref="A36:A40"/>
    <mergeCell ref="B36:B40"/>
    <mergeCell ref="A20:A24"/>
    <mergeCell ref="B20:B24"/>
    <mergeCell ref="A25:A28"/>
    <mergeCell ref="B25:B28"/>
    <mergeCell ref="A29:A35"/>
    <mergeCell ref="B29:B35"/>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81B2-94EE-4CAC-A424-E4CFC958A4A9}">
  <sheetPr codeName="Planilha17">
    <tabColor theme="9" tint="0.79998168889431442"/>
  </sheetPr>
  <dimension ref="A1:D20"/>
  <sheetViews>
    <sheetView showGridLines="0" workbookViewId="0">
      <selection activeCell="C10" sqref="C10"/>
    </sheetView>
  </sheetViews>
  <sheetFormatPr defaultColWidth="9.109375" defaultRowHeight="13.2" x14ac:dyDescent="0.25"/>
  <cols>
    <col min="1" max="1" width="22.5546875" style="108" customWidth="1"/>
    <col min="2" max="2" width="37.33203125" style="108" customWidth="1"/>
    <col min="3" max="3" width="46.109375" style="1" customWidth="1"/>
    <col min="4" max="4" width="57.109375" style="1" customWidth="1"/>
    <col min="5" max="5" width="29.33203125" style="1" customWidth="1"/>
    <col min="6" max="16384" width="9.109375" style="1"/>
  </cols>
  <sheetData>
    <row r="1" spans="1:4" s="33" customFormat="1" ht="17.399999999999999" x14ac:dyDescent="0.3">
      <c r="A1" s="109" t="s">
        <v>1202</v>
      </c>
      <c r="B1" s="104"/>
    </row>
    <row r="2" spans="1:4" s="33" customFormat="1" ht="17.399999999999999" x14ac:dyDescent="0.3">
      <c r="A2" s="104"/>
      <c r="B2" s="104"/>
    </row>
    <row r="3" spans="1:4" ht="20.399999999999999" x14ac:dyDescent="0.25">
      <c r="A3" s="93" t="s">
        <v>182</v>
      </c>
      <c r="B3" s="93" t="s">
        <v>413</v>
      </c>
      <c r="C3" s="93" t="s">
        <v>1177</v>
      </c>
      <c r="D3" s="93" t="s">
        <v>1178</v>
      </c>
    </row>
    <row r="4" spans="1:4" ht="13.8" x14ac:dyDescent="0.25">
      <c r="A4" s="105" t="s">
        <v>1179</v>
      </c>
      <c r="B4" s="106" t="s">
        <v>1180</v>
      </c>
      <c r="C4" s="94" t="s">
        <v>1181</v>
      </c>
      <c r="D4" s="94" t="s">
        <v>1181</v>
      </c>
    </row>
    <row r="5" spans="1:4" ht="27.6" x14ac:dyDescent="0.25">
      <c r="A5" s="105" t="s">
        <v>1179</v>
      </c>
      <c r="B5" s="106" t="s">
        <v>1182</v>
      </c>
      <c r="C5" s="94" t="s">
        <v>1181</v>
      </c>
      <c r="D5" s="94" t="s">
        <v>1181</v>
      </c>
    </row>
    <row r="6" spans="1:4" ht="13.8" x14ac:dyDescent="0.25">
      <c r="A6" s="240" t="s">
        <v>1179</v>
      </c>
      <c r="B6" s="241" t="s">
        <v>1183</v>
      </c>
      <c r="C6" s="95" t="s">
        <v>1071</v>
      </c>
      <c r="D6" s="95" t="s">
        <v>1207</v>
      </c>
    </row>
    <row r="7" spans="1:4" ht="13.8" x14ac:dyDescent="0.25">
      <c r="A7" s="240"/>
      <c r="B7" s="241"/>
      <c r="C7" s="95" t="s">
        <v>1184</v>
      </c>
      <c r="D7" s="95" t="s">
        <v>1185</v>
      </c>
    </row>
    <row r="8" spans="1:4" ht="13.8" x14ac:dyDescent="0.25">
      <c r="A8" s="240"/>
      <c r="B8" s="241"/>
      <c r="C8" s="95" t="s">
        <v>1076</v>
      </c>
      <c r="D8" s="96" t="s">
        <v>1186</v>
      </c>
    </row>
    <row r="9" spans="1:4" ht="13.8" x14ac:dyDescent="0.25">
      <c r="A9" s="240"/>
      <c r="B9" s="241"/>
      <c r="C9" s="95" t="s">
        <v>1080</v>
      </c>
      <c r="D9" s="96" t="s">
        <v>1187</v>
      </c>
    </row>
    <row r="10" spans="1:4" ht="13.8" x14ac:dyDescent="0.25">
      <c r="A10" s="240"/>
      <c r="B10" s="241"/>
      <c r="C10" s="95" t="s">
        <v>1081</v>
      </c>
      <c r="D10" s="96" t="s">
        <v>1188</v>
      </c>
    </row>
    <row r="11" spans="1:4" ht="27.6" x14ac:dyDescent="0.25">
      <c r="A11" s="240"/>
      <c r="B11" s="241"/>
      <c r="C11" s="95" t="s">
        <v>1092</v>
      </c>
      <c r="D11" s="96" t="s">
        <v>1189</v>
      </c>
    </row>
    <row r="12" spans="1:4" ht="27.6" x14ac:dyDescent="0.25">
      <c r="A12" s="240"/>
      <c r="B12" s="241"/>
      <c r="C12" s="95" t="s">
        <v>1198</v>
      </c>
      <c r="D12" s="96" t="s">
        <v>1199</v>
      </c>
    </row>
    <row r="13" spans="1:4" ht="13.8" x14ac:dyDescent="0.25">
      <c r="A13" s="242" t="s">
        <v>1190</v>
      </c>
      <c r="B13" s="243" t="s">
        <v>1191</v>
      </c>
      <c r="C13" s="97" t="s">
        <v>1184</v>
      </c>
      <c r="D13" s="98" t="s">
        <v>1185</v>
      </c>
    </row>
    <row r="14" spans="1:4" ht="13.8" x14ac:dyDescent="0.25">
      <c r="A14" s="242"/>
      <c r="B14" s="243"/>
      <c r="C14" s="97" t="s">
        <v>1076</v>
      </c>
      <c r="D14" s="98" t="s">
        <v>1192</v>
      </c>
    </row>
    <row r="15" spans="1:4" ht="13.8" x14ac:dyDescent="0.25">
      <c r="A15" s="242"/>
      <c r="B15" s="243"/>
      <c r="C15" s="97" t="s">
        <v>1080</v>
      </c>
      <c r="D15" s="98" t="s">
        <v>1187</v>
      </c>
    </row>
    <row r="16" spans="1:4" ht="13.8" x14ac:dyDescent="0.25">
      <c r="A16" s="242"/>
      <c r="B16" s="243"/>
      <c r="C16" s="97" t="s">
        <v>1081</v>
      </c>
      <c r="D16" s="98" t="s">
        <v>1193</v>
      </c>
    </row>
    <row r="17" spans="1:4" ht="13.8" x14ac:dyDescent="0.25">
      <c r="A17" s="107" t="s">
        <v>1194</v>
      </c>
      <c r="B17" s="107" t="s">
        <v>1183</v>
      </c>
      <c r="C17" s="99" t="s">
        <v>1195</v>
      </c>
      <c r="D17" s="100" t="s">
        <v>1196</v>
      </c>
    </row>
    <row r="18" spans="1:4" ht="13.8" x14ac:dyDescent="0.25">
      <c r="A18" s="239" t="s">
        <v>1197</v>
      </c>
      <c r="B18" s="239" t="s">
        <v>1183</v>
      </c>
      <c r="C18" s="101" t="s">
        <v>1080</v>
      </c>
      <c r="D18" s="102" t="s">
        <v>1201</v>
      </c>
    </row>
    <row r="19" spans="1:4" ht="13.8" x14ac:dyDescent="0.25">
      <c r="A19" s="239"/>
      <c r="B19" s="239"/>
      <c r="C19" s="101" t="s">
        <v>1195</v>
      </c>
      <c r="D19" s="103" t="s">
        <v>1203</v>
      </c>
    </row>
    <row r="20" spans="1:4" ht="27.6" x14ac:dyDescent="0.25">
      <c r="A20" s="239"/>
      <c r="B20" s="239"/>
      <c r="C20" s="101" t="s">
        <v>1200</v>
      </c>
      <c r="D20" s="101" t="s">
        <v>1199</v>
      </c>
    </row>
  </sheetData>
  <sheetProtection sheet="1" objects="1" scenarios="1"/>
  <mergeCells count="6">
    <mergeCell ref="A18:A20"/>
    <mergeCell ref="B18:B20"/>
    <mergeCell ref="A6:A12"/>
    <mergeCell ref="B6:B12"/>
    <mergeCell ref="A13:A16"/>
    <mergeCell ref="B13:B16"/>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7706-673B-4515-9799-FB6CFC1A17BA}">
  <sheetPr>
    <tabColor theme="9" tint="0.79998168889431442"/>
  </sheetPr>
  <dimension ref="A1:C21"/>
  <sheetViews>
    <sheetView showGridLines="0" workbookViewId="0">
      <selection activeCell="A4" sqref="A4"/>
    </sheetView>
  </sheetViews>
  <sheetFormatPr defaultColWidth="35.5546875" defaultRowHeight="13.2" x14ac:dyDescent="0.25"/>
  <cols>
    <col min="1" max="1" width="60.33203125" customWidth="1"/>
    <col min="2" max="2" width="31.5546875" bestFit="1" customWidth="1"/>
    <col min="3" max="3" width="39.109375" customWidth="1"/>
  </cols>
  <sheetData>
    <row r="1" spans="1:3" s="33" customFormat="1" ht="17.399999999999999" x14ac:dyDescent="0.3">
      <c r="A1" s="109" t="s">
        <v>1274</v>
      </c>
      <c r="B1" s="104"/>
    </row>
    <row r="2" spans="1:3" s="33" customFormat="1" ht="17.399999999999999" x14ac:dyDescent="0.3">
      <c r="A2" s="104"/>
      <c r="B2" s="104"/>
    </row>
    <row r="3" spans="1:3" ht="70.5" customHeight="1" x14ac:dyDescent="0.25">
      <c r="A3" s="246" t="s">
        <v>1278</v>
      </c>
      <c r="B3" s="246"/>
      <c r="C3" s="246"/>
    </row>
    <row r="4" spans="1:3" ht="15.6" x14ac:dyDescent="0.25">
      <c r="A4" s="139" t="s">
        <v>197</v>
      </c>
      <c r="B4" s="140" t="s">
        <v>1256</v>
      </c>
      <c r="C4" s="140" t="s">
        <v>1275</v>
      </c>
    </row>
    <row r="5" spans="1:3" ht="15" x14ac:dyDescent="0.25">
      <c r="A5" s="141" t="s">
        <v>1257</v>
      </c>
      <c r="B5" s="244" t="s">
        <v>1035</v>
      </c>
      <c r="C5" s="248">
        <v>160</v>
      </c>
    </row>
    <row r="6" spans="1:3" ht="15" x14ac:dyDescent="0.25">
      <c r="A6" s="141" t="s">
        <v>1258</v>
      </c>
      <c r="B6" s="244"/>
      <c r="C6" s="248"/>
    </row>
    <row r="7" spans="1:3" ht="15" x14ac:dyDescent="0.25">
      <c r="A7" s="141" t="s">
        <v>1259</v>
      </c>
      <c r="B7" s="244" t="s">
        <v>1035</v>
      </c>
      <c r="C7" s="248" t="s">
        <v>1277</v>
      </c>
    </row>
    <row r="8" spans="1:3" ht="15" x14ac:dyDescent="0.25">
      <c r="A8" s="141" t="s">
        <v>1260</v>
      </c>
      <c r="B8" s="244"/>
      <c r="C8" s="248"/>
    </row>
    <row r="9" spans="1:3" ht="15" x14ac:dyDescent="0.25">
      <c r="A9" s="141" t="s">
        <v>1261</v>
      </c>
      <c r="B9" s="244"/>
      <c r="C9" s="248"/>
    </row>
    <row r="10" spans="1:3" ht="30" x14ac:dyDescent="0.25">
      <c r="A10" s="141" t="s">
        <v>1262</v>
      </c>
      <c r="B10" s="141" t="s">
        <v>1035</v>
      </c>
      <c r="C10" s="142">
        <v>760</v>
      </c>
    </row>
    <row r="11" spans="1:3" ht="15.6" x14ac:dyDescent="0.25">
      <c r="A11" s="141" t="s">
        <v>1263</v>
      </c>
      <c r="B11" s="141" t="s">
        <v>1035</v>
      </c>
      <c r="C11" s="143">
        <v>1200</v>
      </c>
    </row>
    <row r="12" spans="1:3" ht="30" x14ac:dyDescent="0.25">
      <c r="A12" s="141" t="s">
        <v>1264</v>
      </c>
      <c r="B12" s="141" t="s">
        <v>1035</v>
      </c>
      <c r="C12" s="143">
        <v>2400</v>
      </c>
    </row>
    <row r="13" spans="1:3" ht="15" x14ac:dyDescent="0.25">
      <c r="A13" s="141" t="s">
        <v>1265</v>
      </c>
      <c r="B13" s="244" t="s">
        <v>1270</v>
      </c>
      <c r="C13" s="245">
        <v>3000</v>
      </c>
    </row>
    <row r="14" spans="1:3" ht="15" x14ac:dyDescent="0.25">
      <c r="A14" s="141" t="s">
        <v>1266</v>
      </c>
      <c r="B14" s="244"/>
      <c r="C14" s="245"/>
    </row>
    <row r="15" spans="1:3" ht="15" x14ac:dyDescent="0.25">
      <c r="A15" s="141" t="s">
        <v>1267</v>
      </c>
      <c r="B15" s="244"/>
      <c r="C15" s="245"/>
    </row>
    <row r="16" spans="1:3" ht="15" x14ac:dyDescent="0.25">
      <c r="A16" s="141" t="s">
        <v>1268</v>
      </c>
      <c r="B16" s="244"/>
      <c r="C16" s="245"/>
    </row>
    <row r="17" spans="1:3" ht="15" x14ac:dyDescent="0.25">
      <c r="A17" s="141" t="s">
        <v>1269</v>
      </c>
      <c r="B17" s="244"/>
      <c r="C17" s="245"/>
    </row>
    <row r="18" spans="1:3" ht="15.6" x14ac:dyDescent="0.25">
      <c r="A18" s="141" t="s">
        <v>1271</v>
      </c>
      <c r="B18" s="141" t="s">
        <v>1272</v>
      </c>
      <c r="C18" s="142">
        <v>160</v>
      </c>
    </row>
    <row r="19" spans="1:3" ht="15.6" x14ac:dyDescent="0.25">
      <c r="A19" s="141" t="s">
        <v>1271</v>
      </c>
      <c r="B19" s="141" t="s">
        <v>1273</v>
      </c>
      <c r="C19" s="142" t="s">
        <v>1277</v>
      </c>
    </row>
    <row r="20" spans="1:3" ht="15" x14ac:dyDescent="0.25">
      <c r="A20" s="144"/>
      <c r="B20" s="144"/>
      <c r="C20" s="145"/>
    </row>
    <row r="21" spans="1:3" ht="15.6" x14ac:dyDescent="0.25">
      <c r="A21" s="247" t="s">
        <v>1276</v>
      </c>
      <c r="B21" s="247"/>
      <c r="C21" s="247"/>
    </row>
  </sheetData>
  <mergeCells count="8">
    <mergeCell ref="B13:B17"/>
    <mergeCell ref="C13:C17"/>
    <mergeCell ref="A3:C3"/>
    <mergeCell ref="A21:C21"/>
    <mergeCell ref="B5:B6"/>
    <mergeCell ref="C5:C6"/>
    <mergeCell ref="B7:B9"/>
    <mergeCell ref="C7:C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18</vt:i4>
      </vt:variant>
    </vt:vector>
  </HeadingPairs>
  <TitlesOfParts>
    <vt:vector size="18" baseType="lpstr">
      <vt:lpstr>atualização</vt:lpstr>
      <vt:lpstr>atualizações da versão</vt:lpstr>
      <vt:lpstr>regras gerais</vt:lpstr>
      <vt:lpstr>00</vt:lpstr>
      <vt:lpstr>10</vt:lpstr>
      <vt:lpstr>20</vt:lpstr>
      <vt:lpstr>30</vt:lpstr>
      <vt:lpstr>40</vt:lpstr>
      <vt:lpstr>50</vt:lpstr>
      <vt:lpstr>60</vt:lpstr>
      <vt:lpstr>Anexo 1</vt:lpstr>
      <vt:lpstr>Anexo 2</vt:lpstr>
      <vt:lpstr>Anexo 3</vt:lpstr>
      <vt:lpstr>Anexo 4</vt:lpstr>
      <vt:lpstr>Anexo 5</vt:lpstr>
      <vt:lpstr>Anexo 6</vt:lpstr>
      <vt:lpstr>Anexo 7</vt:lpstr>
      <vt:lpstr>Anexo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inep</dc:creator>
  <cp:lastModifiedBy>CP Porto CGTEC</cp:lastModifiedBy>
  <cp:revision>0</cp:revision>
  <cp:lastPrinted>2015-07-23T19:53:12Z</cp:lastPrinted>
  <dcterms:created xsi:type="dcterms:W3CDTF">2010-12-01T18:41:07Z</dcterms:created>
  <dcterms:modified xsi:type="dcterms:W3CDTF">2026-07-31T23:47:25Z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